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-estate\docs\KLTN_NHOM_14\"/>
    </mc:Choice>
  </mc:AlternateContent>
  <xr:revisionPtr revIDLastSave="0" documentId="13_ncr:1_{A641F560-553D-4AD6-8559-3FFB8245C5C2}" xr6:coauthVersionLast="47" xr6:coauthVersionMax="47" xr10:uidLastSave="{00000000-0000-0000-0000-000000000000}"/>
  <bookViews>
    <workbookView xWindow="1152" yWindow="1152" windowWidth="17280" windowHeight="8880" activeTab="1" xr2:uid="{B648C98A-0483-4228-98EF-65FEF54600CC}"/>
  </bookViews>
  <sheets>
    <sheet name="Sprint 1" sheetId="1" r:id="rId1"/>
    <sheet name="Sprint 2" sheetId="2" r:id="rId2"/>
    <sheet name="BAO CA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D11" i="2"/>
  <c r="D8" i="2"/>
  <c r="D207" i="2"/>
  <c r="E213" i="2" s="1"/>
  <c r="E12" i="2"/>
  <c r="D12" i="2"/>
  <c r="E11" i="2"/>
  <c r="E10" i="2"/>
  <c r="D10" i="2"/>
  <c r="E9" i="2"/>
  <c r="D9" i="2"/>
  <c r="O7" i="3"/>
  <c r="N7" i="3"/>
  <c r="M7" i="3"/>
  <c r="L7" i="3"/>
  <c r="K7" i="3"/>
  <c r="J7" i="3"/>
  <c r="I7" i="3"/>
  <c r="H7" i="3"/>
  <c r="G7" i="3"/>
  <c r="F7" i="3"/>
  <c r="E10" i="1"/>
  <c r="D10" i="1"/>
  <c r="E9" i="1"/>
  <c r="D9" i="1"/>
  <c r="E8" i="1"/>
  <c r="AF213" i="2"/>
  <c r="AF212" i="2"/>
  <c r="G211" i="2"/>
  <c r="H211" i="2" s="1"/>
  <c r="I211" i="2" s="1"/>
  <c r="J211" i="2" s="1"/>
  <c r="K211" i="2" s="1"/>
  <c r="L211" i="2" s="1"/>
  <c r="M211" i="2" s="1"/>
  <c r="N211" i="2" s="1"/>
  <c r="O211" i="2" s="1"/>
  <c r="P211" i="2" s="1"/>
  <c r="Q211" i="2" s="1"/>
  <c r="R211" i="2" s="1"/>
  <c r="S211" i="2" s="1"/>
  <c r="T211" i="2" s="1"/>
  <c r="U211" i="2" s="1"/>
  <c r="V211" i="2" s="1"/>
  <c r="W211" i="2" s="1"/>
  <c r="X211" i="2" s="1"/>
  <c r="Y211" i="2" s="1"/>
  <c r="Z211" i="2" s="1"/>
  <c r="AA211" i="2" s="1"/>
  <c r="AB211" i="2" s="1"/>
  <c r="AC211" i="2" s="1"/>
  <c r="AD211" i="2" s="1"/>
  <c r="AE211" i="2" s="1"/>
  <c r="AF211" i="2" s="1"/>
  <c r="AE207" i="2"/>
  <c r="AE213" i="2" s="1"/>
  <c r="AD207" i="2"/>
  <c r="AD213" i="2" s="1"/>
  <c r="AC207" i="2"/>
  <c r="AC213" i="2" s="1"/>
  <c r="AB207" i="2"/>
  <c r="AB213" i="2" s="1"/>
  <c r="AA207" i="2"/>
  <c r="AA213" i="2" s="1"/>
  <c r="Z207" i="2"/>
  <c r="Z213" i="2" s="1"/>
  <c r="Y207" i="2"/>
  <c r="Y213" i="2" s="1"/>
  <c r="X207" i="2"/>
  <c r="X213" i="2" s="1"/>
  <c r="W207" i="2"/>
  <c r="W213" i="2" s="1"/>
  <c r="V207" i="2"/>
  <c r="V213" i="2" s="1"/>
  <c r="U207" i="2"/>
  <c r="U213" i="2" s="1"/>
  <c r="T207" i="2"/>
  <c r="T213" i="2" s="1"/>
  <c r="S207" i="2"/>
  <c r="S213" i="2" s="1"/>
  <c r="R207" i="2"/>
  <c r="R213" i="2" s="1"/>
  <c r="Q207" i="2"/>
  <c r="Q213" i="2" s="1"/>
  <c r="P207" i="2"/>
  <c r="P213" i="2" s="1"/>
  <c r="O207" i="2"/>
  <c r="O213" i="2" s="1"/>
  <c r="N207" i="2"/>
  <c r="N213" i="2" s="1"/>
  <c r="M207" i="2"/>
  <c r="M213" i="2" s="1"/>
  <c r="L207" i="2"/>
  <c r="L213" i="2" s="1"/>
  <c r="K207" i="2"/>
  <c r="K213" i="2" s="1"/>
  <c r="J207" i="2"/>
  <c r="J213" i="2" s="1"/>
  <c r="I207" i="2"/>
  <c r="I213" i="2" s="1"/>
  <c r="H207" i="2"/>
  <c r="H213" i="2" s="1"/>
  <c r="G207" i="2"/>
  <c r="G213" i="2" s="1"/>
  <c r="F207" i="2"/>
  <c r="F213" i="2" s="1"/>
  <c r="G113" i="2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AE110" i="2"/>
  <c r="AE212" i="2" s="1"/>
  <c r="AD110" i="2"/>
  <c r="AD212" i="2" s="1"/>
  <c r="AC110" i="2"/>
  <c r="AC212" i="2" s="1"/>
  <c r="AB110" i="2"/>
  <c r="AB212" i="2" s="1"/>
  <c r="AA110" i="2"/>
  <c r="AA212" i="2" s="1"/>
  <c r="Z110" i="2"/>
  <c r="Z212" i="2" s="1"/>
  <c r="Y110" i="2"/>
  <c r="Y212" i="2" s="1"/>
  <c r="X110" i="2"/>
  <c r="X212" i="2" s="1"/>
  <c r="W110" i="2"/>
  <c r="W212" i="2" s="1"/>
  <c r="V110" i="2"/>
  <c r="V212" i="2" s="1"/>
  <c r="U110" i="2"/>
  <c r="U212" i="2" s="1"/>
  <c r="T110" i="2"/>
  <c r="T212" i="2" s="1"/>
  <c r="S110" i="2"/>
  <c r="S212" i="2" s="1"/>
  <c r="R110" i="2"/>
  <c r="R212" i="2" s="1"/>
  <c r="Q110" i="2"/>
  <c r="Q212" i="2" s="1"/>
  <c r="P110" i="2"/>
  <c r="P212" i="2" s="1"/>
  <c r="O110" i="2"/>
  <c r="O212" i="2" s="1"/>
  <c r="N110" i="2"/>
  <c r="N212" i="2" s="1"/>
  <c r="M110" i="2"/>
  <c r="M212" i="2" s="1"/>
  <c r="L110" i="2"/>
  <c r="L212" i="2" s="1"/>
  <c r="K110" i="2"/>
  <c r="K212" i="2" s="1"/>
  <c r="J110" i="2"/>
  <c r="J212" i="2" s="1"/>
  <c r="I110" i="2"/>
  <c r="I212" i="2" s="1"/>
  <c r="H110" i="2"/>
  <c r="H212" i="2" s="1"/>
  <c r="G110" i="2"/>
  <c r="G212" i="2" s="1"/>
  <c r="F110" i="2"/>
  <c r="F212" i="2" s="1"/>
  <c r="E110" i="2"/>
  <c r="E212" i="2" s="1"/>
  <c r="G16" i="2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AE211" i="1"/>
  <c r="AE207" i="1"/>
  <c r="AE113" i="1"/>
  <c r="AE110" i="1"/>
  <c r="AE16" i="1"/>
  <c r="D12" i="1"/>
  <c r="D11" i="1"/>
  <c r="D8" i="1"/>
  <c r="E12" i="1"/>
  <c r="E11" i="1"/>
  <c r="D13" i="2" l="1"/>
  <c r="E13" i="2"/>
  <c r="W16" i="2"/>
  <c r="X16" i="2" s="1"/>
  <c r="Y16" i="2" s="1"/>
  <c r="Z16" i="2" s="1"/>
  <c r="AA16" i="2" s="1"/>
  <c r="AB16" i="2" s="1"/>
  <c r="AC16" i="2" s="1"/>
  <c r="AD16" i="2" s="1"/>
  <c r="AE16" i="2" s="1"/>
  <c r="AF16" i="2" s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F212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F213" i="1"/>
  <c r="G207" i="1"/>
  <c r="G211" i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D207" i="1"/>
  <c r="AD207" i="1" l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F207" i="1"/>
  <c r="G113" i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D110" i="1" l="1"/>
  <c r="AD212" i="1" s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G16" i="1"/>
  <c r="H16" i="1" s="1"/>
  <c r="I16" i="1" s="1"/>
  <c r="J16" i="1" s="1"/>
  <c r="K16" i="1" s="1"/>
  <c r="L16" i="1" s="1"/>
  <c r="M16" i="1" s="1"/>
  <c r="N16" i="1" s="1"/>
  <c r="O16" i="1" s="1"/>
  <c r="E13" i="1"/>
  <c r="D13" i="1"/>
  <c r="P16" i="1" l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l="1"/>
  <c r="AD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53E1087F-582B-46BE-9628-55A604BDB828}">
      <text>
        <r>
          <rPr>
            <sz val="11"/>
            <color theme="1"/>
            <rFont val="Calibri"/>
            <family val="2"/>
            <scheme val="minor"/>
          </rPr>
          <t>======
ID#AAAAYnQXjjw
    (2022-04-28 08:52:20)
Change this to sprint number.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E22A19BD-CE12-494B-BBEC-B08C5F068AA3}">
      <text>
        <r>
          <rPr>
            <sz val="11"/>
            <color theme="1"/>
            <rFont val="Calibri"/>
            <family val="2"/>
            <scheme val="minor"/>
          </rPr>
          <t>======
ID#AAAAYnQXjjw
    (2022-04-28 08:52:20)
Change this to sprint number.</t>
        </r>
      </text>
    </comment>
  </commentList>
</comments>
</file>

<file path=xl/sharedStrings.xml><?xml version="1.0" encoding="utf-8"?>
<sst xmlns="http://schemas.openxmlformats.org/spreadsheetml/2006/main" count="864" uniqueCount="109">
  <si>
    <t>Tên dự án:</t>
  </si>
  <si>
    <t>Tên module:</t>
  </si>
  <si>
    <t>Sprint 1</t>
  </si>
  <si>
    <t>Ngày bắt đầu</t>
  </si>
  <si>
    <t>Ngày kết thúc:</t>
  </si>
  <si>
    <t xml:space="preserve">BÁO CÁO SPRINT 1 </t>
  </si>
  <si>
    <t>STT</t>
  </si>
  <si>
    <t>Tên thành viên</t>
  </si>
  <si>
    <t>Thực tế</t>
  </si>
  <si>
    <t>Ước tính</t>
  </si>
  <si>
    <t>Tổng cộng</t>
  </si>
  <si>
    <t>Nguyễn Như Anh</t>
  </si>
  <si>
    <t>Ngô Văn Mạnh Cường</t>
  </si>
  <si>
    <t>Lê Minh</t>
  </si>
  <si>
    <t>Lê Văn Nguyên</t>
  </si>
  <si>
    <t>Trần Đình Thiện</t>
  </si>
  <si>
    <t>Kết thúc nhiệm vụ</t>
  </si>
  <si>
    <t>Giờ làm thêm</t>
  </si>
  <si>
    <t>Trễ</t>
  </si>
  <si>
    <t>Chậm tiến độ</t>
  </si>
  <si>
    <t>Trước thời hạn</t>
  </si>
  <si>
    <t>Thành phần</t>
  </si>
  <si>
    <t>Tên nhiệm vụ</t>
  </si>
  <si>
    <t>Trách nhiệm của thành viên</t>
  </si>
  <si>
    <t>Họp lập kế hoạch sprint 1</t>
  </si>
  <si>
    <t>Tất cả thành viên</t>
  </si>
  <si>
    <t>Tạo Sprint Backlog</t>
  </si>
  <si>
    <t>Tạo tài liệu kế hoạch test sprint 1</t>
  </si>
  <si>
    <t xml:space="preserve">Thiết kế Database </t>
  </si>
  <si>
    <t>Thiết kế giao diện</t>
  </si>
  <si>
    <t>Đăng nhập</t>
  </si>
  <si>
    <t>Đăng xuất</t>
  </si>
  <si>
    <t>Review</t>
  </si>
  <si>
    <t>Design Test case</t>
  </si>
  <si>
    <t>Coding</t>
  </si>
  <si>
    <t>Testing</t>
  </si>
  <si>
    <t>Fix Bugs</t>
  </si>
  <si>
    <t>Re-Testing</t>
  </si>
  <si>
    <t>Release Sprint 1</t>
  </si>
  <si>
    <t>Sprint 1 Review</t>
  </si>
  <si>
    <t>Nguyên</t>
  </si>
  <si>
    <t>Anh</t>
  </si>
  <si>
    <t>Cường</t>
  </si>
  <si>
    <t>Minh, Nguyên</t>
  </si>
  <si>
    <t>Thiện</t>
  </si>
  <si>
    <t>Anh, Thiện</t>
  </si>
  <si>
    <t>Minh</t>
  </si>
  <si>
    <t>Minh, Anh</t>
  </si>
  <si>
    <t>Đăng ký</t>
  </si>
  <si>
    <t xml:space="preserve">Xem chi tiết nhà, đất </t>
  </si>
  <si>
    <t>Thêm vào yêu thích</t>
  </si>
  <si>
    <t>Tìm kiếm, lọc thông tin</t>
  </si>
  <si>
    <t>Đặt lịch hẹn</t>
  </si>
  <si>
    <t>Đăng bài</t>
  </si>
  <si>
    <t>Quản lý tài khoản cá nhân</t>
  </si>
  <si>
    <t>Quản lý bài viết</t>
  </si>
  <si>
    <t>Quản lý nhà, đất</t>
  </si>
  <si>
    <t>Quản lý danh mục</t>
  </si>
  <si>
    <t>Chatbot</t>
  </si>
  <si>
    <t>Định giá bất động sản</t>
  </si>
  <si>
    <t xml:space="preserve">Cường </t>
  </si>
  <si>
    <t xml:space="preserve">Anh </t>
  </si>
  <si>
    <t>Thiện, Cường</t>
  </si>
  <si>
    <t xml:space="preserve">Thiện </t>
  </si>
  <si>
    <t>Anh, Minh</t>
  </si>
  <si>
    <t>Integrate Code</t>
  </si>
  <si>
    <t>Minh, Cường</t>
  </si>
  <si>
    <t>Thiết kế và phát triển hệ thống kinh doanh bất động sản tích hợp Chatbot và hệ thống gợi ý thông minh</t>
  </si>
  <si>
    <t>Nguyên, Minh</t>
  </si>
  <si>
    <t>Cường, Thiện, Anh</t>
  </si>
  <si>
    <t>Cưởng</t>
  </si>
  <si>
    <t>Cưởng, Anh, Thiện</t>
  </si>
  <si>
    <t>Bảng tổng hợp sprint 1</t>
  </si>
  <si>
    <t>Sprint 2</t>
  </si>
  <si>
    <t>BÁO CÁO SPRINT 2</t>
  </si>
  <si>
    <t>Họp lập kế hoạch sprint 2</t>
  </si>
  <si>
    <t>Tạo tài liệu kế hoạch test sprint 2</t>
  </si>
  <si>
    <t>Nâng cấp tài khoản</t>
  </si>
  <si>
    <t>Nâng cấp bài viết lên VIP</t>
  </si>
  <si>
    <t xml:space="preserve">Thanh toán </t>
  </si>
  <si>
    <t>Recommendation</t>
  </si>
  <si>
    <t>Quản lý người dùng</t>
  </si>
  <si>
    <t>Tra cứu phong thủy</t>
  </si>
  <si>
    <t>Xem lịch hẹn</t>
  </si>
  <si>
    <t>Thống kê</t>
  </si>
  <si>
    <t>Quản lý thanh toán và gói VIP</t>
  </si>
  <si>
    <t>Quản lý doanh thu</t>
  </si>
  <si>
    <t>Quản lý lịch hẹn</t>
  </si>
  <si>
    <t>Phân công nhân viên</t>
  </si>
  <si>
    <t>Release Sprint 2</t>
  </si>
  <si>
    <t>Sprint 2 Review</t>
  </si>
  <si>
    <t>Integrate code</t>
  </si>
  <si>
    <t>Thiện, Nguyên</t>
  </si>
  <si>
    <t>Nguyên, Thiện</t>
  </si>
  <si>
    <t>Cường, Minh</t>
  </si>
  <si>
    <t>Anh, Thiện, Nguyên</t>
  </si>
  <si>
    <t>Nguyên, Cường, Thiện</t>
  </si>
  <si>
    <t>Thiện, Nguyên, Cường</t>
  </si>
  <si>
    <t>Minh, Cường, Anh</t>
  </si>
  <si>
    <t>Anh, Cường</t>
  </si>
  <si>
    <t>Nguyên, Minh, Thiện</t>
  </si>
  <si>
    <t>Nguyên, Anh</t>
  </si>
  <si>
    <t>Cường, Thiện, Minh</t>
  </si>
  <si>
    <t>Bảng tổng hợp sprint 2</t>
  </si>
  <si>
    <t>Báo cáo dự án</t>
  </si>
  <si>
    <t>Tổng</t>
  </si>
  <si>
    <t>Tổng số</t>
  </si>
  <si>
    <t>Đặt cọc</t>
  </si>
  <si>
    <t>Quản lý đặt cọc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</si>
</sst>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1"/>
      <name val="Arial"/>
      <family val="2"/>
    </font>
    <font>
      <sz val="13"/>
      <color rgb="FF00000A"/>
      <name val="Times New Roman"/>
      <family val="1"/>
    </font>
    <font>
      <sz val="13"/>
      <name val="Times New Roman"/>
      <family val="1"/>
    </font>
    <font>
      <b/>
      <sz val="16"/>
      <color rgb="FF00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2AB95D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 tint="-0.249977111117893"/>
        <bgColor rgb="FFFFFFCC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4" borderId="3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/>
    <xf numFmtId="0" fontId="6" fillId="5" borderId="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4" fillId="9" borderId="0" xfId="0" applyFont="1" applyFill="1" applyAlignment="1">
      <alignment wrapText="1"/>
    </xf>
    <xf numFmtId="0" fontId="3" fillId="10" borderId="0" xfId="0" applyFont="1" applyFill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" fontId="6" fillId="0" borderId="11" xfId="0" applyNumberFormat="1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4" fillId="1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" fontId="6" fillId="0" borderId="4" xfId="0" applyNumberFormat="1" applyFont="1" applyBorder="1" applyAlignment="1">
      <alignment horizontal="center" vertical="center" textRotation="90"/>
    </xf>
    <xf numFmtId="0" fontId="6" fillId="0" borderId="2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 vertical="center" textRotation="90"/>
    </xf>
    <xf numFmtId="16" fontId="6" fillId="0" borderId="2" xfId="0" applyNumberFormat="1" applyFont="1" applyBorder="1" applyAlignment="1">
      <alignment horizontal="center" vertical="center" textRotation="90"/>
    </xf>
    <xf numFmtId="0" fontId="8" fillId="0" borderId="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3" fillId="0" borderId="23" xfId="0" applyFont="1" applyBorder="1" applyAlignment="1">
      <alignment horizontal="justify" vertical="center" wrapText="1"/>
    </xf>
    <xf numFmtId="0" fontId="4" fillId="0" borderId="23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32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4" fillId="9" borderId="2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3" fillId="16" borderId="2" xfId="0" applyFont="1" applyFill="1" applyBorder="1"/>
    <xf numFmtId="0" fontId="3" fillId="10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6" fillId="19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/>
    <xf numFmtId="0" fontId="4" fillId="21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/>
    <xf numFmtId="0" fontId="4" fillId="20" borderId="2" xfId="0" applyFont="1" applyFill="1" applyBorder="1"/>
    <xf numFmtId="0" fontId="4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12" borderId="17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3" fillId="12" borderId="20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24" xfId="0" applyBorder="1"/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4" fillId="13" borderId="17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/>
    </xf>
    <xf numFmtId="0" fontId="3" fillId="0" borderId="17" xfId="0" applyFont="1" applyBorder="1" applyAlignment="1">
      <alignment vertical="center" wrapText="1"/>
    </xf>
    <xf numFmtId="0" fontId="6" fillId="22" borderId="2" xfId="0" applyFont="1" applyFill="1" applyBorder="1" applyAlignment="1">
      <alignment horizontal="center"/>
    </xf>
    <xf numFmtId="0" fontId="10" fillId="17" borderId="29" xfId="0" applyFont="1" applyFill="1" applyBorder="1" applyAlignment="1">
      <alignment horizontal="center"/>
    </xf>
    <xf numFmtId="0" fontId="10" fillId="17" borderId="35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 vertical="center"/>
    </xf>
    <xf numFmtId="0" fontId="1" fillId="18" borderId="2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7" fillId="0" borderId="6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5" borderId="3" xfId="0" applyFont="1" applyFill="1" applyBorder="1" applyAlignment="1">
      <alignment horizontal="center" wrapText="1"/>
    </xf>
    <xf numFmtId="0" fontId="7" fillId="0" borderId="3" xfId="0" applyFont="1" applyBorder="1"/>
    <xf numFmtId="0" fontId="7" fillId="0" borderId="30" xfId="0" applyFont="1" applyBorder="1"/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Bảng tổng hợp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5319335083115E-2"/>
          <c:y val="0.15782407407407409"/>
          <c:w val="0.88806474190726159"/>
          <c:h val="0.53237423447069121"/>
        </c:manualLayout>
      </c:layout>
      <c:lineChart>
        <c:grouping val="standard"/>
        <c:varyColors val="0"/>
        <c:ser>
          <c:idx val="0"/>
          <c:order val="0"/>
          <c:tx>
            <c:strRef>
              <c:f>'Sprint 1'!$D$212:$E$212</c:f>
              <c:strCache>
                <c:ptCount val="2"/>
                <c:pt idx="0">
                  <c:v>Ước tính</c:v>
                </c:pt>
                <c:pt idx="1">
                  <c:v>362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1'!$F$211:$AD$211</c:f>
              <c:numCache>
                <c:formatCode>d\-mmm</c:formatCode>
                <c:ptCount val="25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  <c:pt idx="21">
                  <c:v>46124</c:v>
                </c:pt>
                <c:pt idx="22">
                  <c:v>46125</c:v>
                </c:pt>
                <c:pt idx="23">
                  <c:v>46126</c:v>
                </c:pt>
                <c:pt idx="24">
                  <c:v>46127</c:v>
                </c:pt>
              </c:numCache>
            </c:numRef>
          </c:cat>
          <c:val>
            <c:numRef>
              <c:f>'Sprint 1'!$F$212:$AD$212</c:f>
              <c:numCache>
                <c:formatCode>General</c:formatCode>
                <c:ptCount val="25"/>
                <c:pt idx="0">
                  <c:v>361</c:v>
                </c:pt>
                <c:pt idx="1">
                  <c:v>337</c:v>
                </c:pt>
                <c:pt idx="2">
                  <c:v>331</c:v>
                </c:pt>
                <c:pt idx="3">
                  <c:v>313</c:v>
                </c:pt>
                <c:pt idx="4">
                  <c:v>303</c:v>
                </c:pt>
                <c:pt idx="5">
                  <c:v>293</c:v>
                </c:pt>
                <c:pt idx="6">
                  <c:v>268</c:v>
                </c:pt>
                <c:pt idx="7">
                  <c:v>234</c:v>
                </c:pt>
                <c:pt idx="8">
                  <c:v>226</c:v>
                </c:pt>
                <c:pt idx="9">
                  <c:v>203</c:v>
                </c:pt>
                <c:pt idx="10">
                  <c:v>173</c:v>
                </c:pt>
                <c:pt idx="11">
                  <c:v>172</c:v>
                </c:pt>
                <c:pt idx="12">
                  <c:v>129</c:v>
                </c:pt>
                <c:pt idx="13">
                  <c:v>94</c:v>
                </c:pt>
                <c:pt idx="14">
                  <c:v>89</c:v>
                </c:pt>
                <c:pt idx="15">
                  <c:v>81</c:v>
                </c:pt>
                <c:pt idx="16">
                  <c:v>79</c:v>
                </c:pt>
                <c:pt idx="17">
                  <c:v>68</c:v>
                </c:pt>
                <c:pt idx="18">
                  <c:v>58</c:v>
                </c:pt>
                <c:pt idx="19">
                  <c:v>51</c:v>
                </c:pt>
                <c:pt idx="20">
                  <c:v>44</c:v>
                </c:pt>
                <c:pt idx="21">
                  <c:v>36</c:v>
                </c:pt>
                <c:pt idx="22">
                  <c:v>22</c:v>
                </c:pt>
                <c:pt idx="23">
                  <c:v>15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0-4D0C-AF38-27903CA8A8F4}"/>
            </c:ext>
          </c:extLst>
        </c:ser>
        <c:ser>
          <c:idx val="1"/>
          <c:order val="1"/>
          <c:tx>
            <c:strRef>
              <c:f>'Sprint 1'!$D$213:$E$213</c:f>
              <c:strCache>
                <c:ptCount val="2"/>
                <c:pt idx="0">
                  <c:v>Thực tế</c:v>
                </c:pt>
                <c:pt idx="1">
                  <c:v>373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1'!$F$211:$AD$211</c:f>
              <c:numCache>
                <c:formatCode>d\-mmm</c:formatCode>
                <c:ptCount val="25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  <c:pt idx="21">
                  <c:v>46124</c:v>
                </c:pt>
                <c:pt idx="22">
                  <c:v>46125</c:v>
                </c:pt>
                <c:pt idx="23">
                  <c:v>46126</c:v>
                </c:pt>
                <c:pt idx="24">
                  <c:v>46127</c:v>
                </c:pt>
              </c:numCache>
            </c:numRef>
          </c:cat>
          <c:val>
            <c:numRef>
              <c:f>'Sprint 1'!$F$213:$AD$213</c:f>
              <c:numCache>
                <c:formatCode>General</c:formatCode>
                <c:ptCount val="25"/>
                <c:pt idx="0">
                  <c:v>361</c:v>
                </c:pt>
                <c:pt idx="1">
                  <c:v>337</c:v>
                </c:pt>
                <c:pt idx="2">
                  <c:v>330</c:v>
                </c:pt>
                <c:pt idx="3">
                  <c:v>315</c:v>
                </c:pt>
                <c:pt idx="4">
                  <c:v>301</c:v>
                </c:pt>
                <c:pt idx="5">
                  <c:v>298</c:v>
                </c:pt>
                <c:pt idx="6">
                  <c:v>266</c:v>
                </c:pt>
                <c:pt idx="7">
                  <c:v>232</c:v>
                </c:pt>
                <c:pt idx="8">
                  <c:v>226</c:v>
                </c:pt>
                <c:pt idx="9">
                  <c:v>199</c:v>
                </c:pt>
                <c:pt idx="10">
                  <c:v>173</c:v>
                </c:pt>
                <c:pt idx="11">
                  <c:v>174</c:v>
                </c:pt>
                <c:pt idx="12">
                  <c:v>131</c:v>
                </c:pt>
                <c:pt idx="13">
                  <c:v>92</c:v>
                </c:pt>
                <c:pt idx="14">
                  <c:v>89</c:v>
                </c:pt>
                <c:pt idx="15">
                  <c:v>81</c:v>
                </c:pt>
                <c:pt idx="16">
                  <c:v>86</c:v>
                </c:pt>
                <c:pt idx="17">
                  <c:v>65</c:v>
                </c:pt>
                <c:pt idx="18">
                  <c:v>59</c:v>
                </c:pt>
                <c:pt idx="19">
                  <c:v>56</c:v>
                </c:pt>
                <c:pt idx="20">
                  <c:v>45</c:v>
                </c:pt>
                <c:pt idx="21">
                  <c:v>40</c:v>
                </c:pt>
                <c:pt idx="22">
                  <c:v>22</c:v>
                </c:pt>
                <c:pt idx="23">
                  <c:v>18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0-4D0C-AF38-27903CA8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306895"/>
        <c:axId val="1923304975"/>
      </c:lineChart>
      <c:dateAx>
        <c:axId val="19233068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04975"/>
        <c:crosses val="autoZero"/>
        <c:auto val="1"/>
        <c:lblOffset val="100"/>
        <c:baseTimeUnit val="days"/>
      </c:dateAx>
      <c:valAx>
        <c:axId val="19233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0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Bảng tổng hợp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Ước tính 360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'Sprint 2'!$E$210:$AF$211</c:f>
              <c:strCache>
                <c:ptCount val="28"/>
                <c:pt idx="1">
                  <c:v>16-Apr</c:v>
                </c:pt>
                <c:pt idx="2">
                  <c:v>17-Apr</c:v>
                </c:pt>
                <c:pt idx="3">
                  <c:v>18-Apr</c:v>
                </c:pt>
                <c:pt idx="4">
                  <c:v>19-Apr</c:v>
                </c:pt>
                <c:pt idx="5">
                  <c:v>20-Apr</c:v>
                </c:pt>
                <c:pt idx="6">
                  <c:v>21-Apr</c:v>
                </c:pt>
                <c:pt idx="7">
                  <c:v>22-Apr</c:v>
                </c:pt>
                <c:pt idx="8">
                  <c:v>23-Apr</c:v>
                </c:pt>
                <c:pt idx="9">
                  <c:v>24-Apr</c:v>
                </c:pt>
                <c:pt idx="10">
                  <c:v>25-Apr</c:v>
                </c:pt>
                <c:pt idx="11">
                  <c:v>26-Apr</c:v>
                </c:pt>
                <c:pt idx="12">
                  <c:v>27-Apr</c:v>
                </c:pt>
                <c:pt idx="13">
                  <c:v>28-Apr</c:v>
                </c:pt>
                <c:pt idx="14">
                  <c:v>29-Apr</c:v>
                </c:pt>
                <c:pt idx="15">
                  <c:v>30-Apr</c:v>
                </c:pt>
                <c:pt idx="16">
                  <c:v>1-May</c:v>
                </c:pt>
                <c:pt idx="17">
                  <c:v>2-May</c:v>
                </c:pt>
                <c:pt idx="18">
                  <c:v>3-May</c:v>
                </c:pt>
                <c:pt idx="19">
                  <c:v>4-May</c:v>
                </c:pt>
                <c:pt idx="20">
                  <c:v>5-May</c:v>
                </c:pt>
                <c:pt idx="21">
                  <c:v>6-May</c:v>
                </c:pt>
                <c:pt idx="22">
                  <c:v>7-May</c:v>
                </c:pt>
                <c:pt idx="23">
                  <c:v>8-May</c:v>
                </c:pt>
                <c:pt idx="24">
                  <c:v>9-May</c:v>
                </c:pt>
                <c:pt idx="25">
                  <c:v>10-May</c:v>
                </c:pt>
                <c:pt idx="26">
                  <c:v>11-May</c:v>
                </c:pt>
                <c:pt idx="27">
                  <c:v>12-May</c:v>
                </c:pt>
              </c:strCache>
            </c:strRef>
          </c:cat>
          <c:val>
            <c:numRef>
              <c:f>'Sprint 2'!$E$212:$AF$212</c:f>
              <c:numCache>
                <c:formatCode>General</c:formatCode>
                <c:ptCount val="28"/>
                <c:pt idx="0">
                  <c:v>360</c:v>
                </c:pt>
                <c:pt idx="1">
                  <c:v>357</c:v>
                </c:pt>
                <c:pt idx="2">
                  <c:v>345</c:v>
                </c:pt>
                <c:pt idx="3">
                  <c:v>331</c:v>
                </c:pt>
                <c:pt idx="4">
                  <c:v>324</c:v>
                </c:pt>
                <c:pt idx="5">
                  <c:v>313</c:v>
                </c:pt>
                <c:pt idx="6">
                  <c:v>303</c:v>
                </c:pt>
                <c:pt idx="7">
                  <c:v>267</c:v>
                </c:pt>
                <c:pt idx="8">
                  <c:v>267</c:v>
                </c:pt>
                <c:pt idx="9">
                  <c:v>228</c:v>
                </c:pt>
                <c:pt idx="10">
                  <c:v>227</c:v>
                </c:pt>
                <c:pt idx="11">
                  <c:v>219</c:v>
                </c:pt>
                <c:pt idx="12">
                  <c:v>199</c:v>
                </c:pt>
                <c:pt idx="13">
                  <c:v>184</c:v>
                </c:pt>
                <c:pt idx="14">
                  <c:v>164</c:v>
                </c:pt>
                <c:pt idx="15">
                  <c:v>144</c:v>
                </c:pt>
                <c:pt idx="16">
                  <c:v>139</c:v>
                </c:pt>
                <c:pt idx="17">
                  <c:v>121</c:v>
                </c:pt>
                <c:pt idx="18">
                  <c:v>99</c:v>
                </c:pt>
                <c:pt idx="19">
                  <c:v>87</c:v>
                </c:pt>
                <c:pt idx="20">
                  <c:v>65</c:v>
                </c:pt>
                <c:pt idx="21">
                  <c:v>59</c:v>
                </c:pt>
                <c:pt idx="22">
                  <c:v>51</c:v>
                </c:pt>
                <c:pt idx="23">
                  <c:v>44</c:v>
                </c:pt>
                <c:pt idx="24">
                  <c:v>29</c:v>
                </c:pt>
                <c:pt idx="25">
                  <c:v>21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4-4791-8AEB-A23D2C0387A3}"/>
            </c:ext>
          </c:extLst>
        </c:ser>
        <c:ser>
          <c:idx val="1"/>
          <c:order val="1"/>
          <c:tx>
            <c:v>Thực tế 370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'Sprint 2'!$E$210:$AF$211</c:f>
              <c:strCache>
                <c:ptCount val="28"/>
                <c:pt idx="1">
                  <c:v>16-Apr</c:v>
                </c:pt>
                <c:pt idx="2">
                  <c:v>17-Apr</c:v>
                </c:pt>
                <c:pt idx="3">
                  <c:v>18-Apr</c:v>
                </c:pt>
                <c:pt idx="4">
                  <c:v>19-Apr</c:v>
                </c:pt>
                <c:pt idx="5">
                  <c:v>20-Apr</c:v>
                </c:pt>
                <c:pt idx="6">
                  <c:v>21-Apr</c:v>
                </c:pt>
                <c:pt idx="7">
                  <c:v>22-Apr</c:v>
                </c:pt>
                <c:pt idx="8">
                  <c:v>23-Apr</c:v>
                </c:pt>
                <c:pt idx="9">
                  <c:v>24-Apr</c:v>
                </c:pt>
                <c:pt idx="10">
                  <c:v>25-Apr</c:v>
                </c:pt>
                <c:pt idx="11">
                  <c:v>26-Apr</c:v>
                </c:pt>
                <c:pt idx="12">
                  <c:v>27-Apr</c:v>
                </c:pt>
                <c:pt idx="13">
                  <c:v>28-Apr</c:v>
                </c:pt>
                <c:pt idx="14">
                  <c:v>29-Apr</c:v>
                </c:pt>
                <c:pt idx="15">
                  <c:v>30-Apr</c:v>
                </c:pt>
                <c:pt idx="16">
                  <c:v>1-May</c:v>
                </c:pt>
                <c:pt idx="17">
                  <c:v>2-May</c:v>
                </c:pt>
                <c:pt idx="18">
                  <c:v>3-May</c:v>
                </c:pt>
                <c:pt idx="19">
                  <c:v>4-May</c:v>
                </c:pt>
                <c:pt idx="20">
                  <c:v>5-May</c:v>
                </c:pt>
                <c:pt idx="21">
                  <c:v>6-May</c:v>
                </c:pt>
                <c:pt idx="22">
                  <c:v>7-May</c:v>
                </c:pt>
                <c:pt idx="23">
                  <c:v>8-May</c:v>
                </c:pt>
                <c:pt idx="24">
                  <c:v>9-May</c:v>
                </c:pt>
                <c:pt idx="25">
                  <c:v>10-May</c:v>
                </c:pt>
                <c:pt idx="26">
                  <c:v>11-May</c:v>
                </c:pt>
                <c:pt idx="27">
                  <c:v>12-May</c:v>
                </c:pt>
              </c:strCache>
            </c:strRef>
          </c:cat>
          <c:val>
            <c:numRef>
              <c:f>'Sprint 2'!$E$213:$AF$213</c:f>
              <c:numCache>
                <c:formatCode>General</c:formatCode>
                <c:ptCount val="28"/>
                <c:pt idx="0">
                  <c:v>370</c:v>
                </c:pt>
                <c:pt idx="1">
                  <c:v>357</c:v>
                </c:pt>
                <c:pt idx="2">
                  <c:v>347</c:v>
                </c:pt>
                <c:pt idx="3">
                  <c:v>335</c:v>
                </c:pt>
                <c:pt idx="4">
                  <c:v>322</c:v>
                </c:pt>
                <c:pt idx="5">
                  <c:v>310</c:v>
                </c:pt>
                <c:pt idx="6">
                  <c:v>308</c:v>
                </c:pt>
                <c:pt idx="7">
                  <c:v>267</c:v>
                </c:pt>
                <c:pt idx="8">
                  <c:v>269</c:v>
                </c:pt>
                <c:pt idx="9">
                  <c:v>228</c:v>
                </c:pt>
                <c:pt idx="10">
                  <c:v>227</c:v>
                </c:pt>
                <c:pt idx="11">
                  <c:v>224</c:v>
                </c:pt>
                <c:pt idx="12">
                  <c:v>199</c:v>
                </c:pt>
                <c:pt idx="13">
                  <c:v>184</c:v>
                </c:pt>
                <c:pt idx="14">
                  <c:v>164</c:v>
                </c:pt>
                <c:pt idx="15">
                  <c:v>142</c:v>
                </c:pt>
                <c:pt idx="16">
                  <c:v>137</c:v>
                </c:pt>
                <c:pt idx="17">
                  <c:v>118</c:v>
                </c:pt>
                <c:pt idx="18">
                  <c:v>99</c:v>
                </c:pt>
                <c:pt idx="19">
                  <c:v>88</c:v>
                </c:pt>
                <c:pt idx="20">
                  <c:v>70</c:v>
                </c:pt>
                <c:pt idx="21">
                  <c:v>61</c:v>
                </c:pt>
                <c:pt idx="22">
                  <c:v>55</c:v>
                </c:pt>
                <c:pt idx="23">
                  <c:v>45</c:v>
                </c:pt>
                <c:pt idx="24">
                  <c:v>27</c:v>
                </c:pt>
                <c:pt idx="25">
                  <c:v>19</c:v>
                </c:pt>
                <c:pt idx="26">
                  <c:v>8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4-4791-8AEB-A23D2C03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783535"/>
        <c:axId val="812784015"/>
      </c:lineChart>
      <c:catAx>
        <c:axId val="81278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84015"/>
        <c:crosses val="autoZero"/>
        <c:auto val="1"/>
        <c:lblAlgn val="ctr"/>
        <c:lblOffset val="100"/>
        <c:noMultiLvlLbl val="0"/>
      </c:catAx>
      <c:valAx>
        <c:axId val="8127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8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-1</xdr:colOff>
      <xdr:row>216</xdr:row>
      <xdr:rowOff>32657</xdr:rowOff>
    </xdr:from>
    <xdr:to>
      <xdr:col>31</xdr:col>
      <xdr:colOff>10886</xdr:colOff>
      <xdr:row>246</xdr:row>
      <xdr:rowOff>72241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7EAD9-6427-A9D7-29D3-D3FB5788F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27709</xdr:colOff>
      <xdr:row>215</xdr:row>
      <xdr:rowOff>124690</xdr:rowOff>
    </xdr:from>
    <xdr:to>
      <xdr:col>32</xdr:col>
      <xdr:colOff>27709</xdr:colOff>
      <xdr:row>249</xdr:row>
      <xdr:rowOff>27708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F1549-FBFF-4A41-BB8B-93E9E7D3C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B441-1BAB-4770-A735-70F9537BF2D0}">
  <dimension ref="A1:AE213"/>
  <sheetViews>
    <sheetView topLeftCell="A204" zoomScale="55" zoomScaleNormal="55" workbookViewId="0">
      <selection activeCell="B247" sqref="B247"/>
    </sheetView>
  </sheetViews>
  <sheetFormatPr defaultRowHeight="14.4" x14ac:dyDescent="0.3"/>
  <cols>
    <col min="1" max="1" width="18" bestFit="1" customWidth="1"/>
    <col min="2" max="2" width="31.109375" bestFit="1" customWidth="1"/>
    <col min="3" max="3" width="25.5546875" bestFit="1" customWidth="1"/>
    <col min="4" max="4" width="10.33203125" customWidth="1"/>
  </cols>
  <sheetData>
    <row r="1" spans="1:31" ht="17.399999999999999" x14ac:dyDescent="0.3">
      <c r="A1" s="1" t="s">
        <v>0</v>
      </c>
      <c r="B1" s="149" t="s">
        <v>67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31" ht="34.799999999999997" customHeight="1" x14ac:dyDescent="0.3">
      <c r="A2" s="2" t="s">
        <v>1</v>
      </c>
      <c r="B2" s="68" t="s">
        <v>2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</row>
    <row r="3" spans="1:31" ht="16.8" x14ac:dyDescent="0.3">
      <c r="A3" s="1" t="s">
        <v>3</v>
      </c>
      <c r="B3" s="69">
        <v>46103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</row>
    <row r="4" spans="1:31" ht="27" customHeight="1" x14ac:dyDescent="0.3">
      <c r="A4" s="1" t="s">
        <v>4</v>
      </c>
      <c r="B4" s="69">
        <v>46127</v>
      </c>
      <c r="C4" s="3"/>
      <c r="D4" s="3"/>
      <c r="E4" s="3"/>
      <c r="F4" s="3"/>
      <c r="G4" s="3"/>
      <c r="H4" s="3"/>
      <c r="I4" s="4"/>
      <c r="J4" s="4"/>
      <c r="K4" s="4"/>
      <c r="L4" s="4"/>
      <c r="M4" s="4"/>
    </row>
    <row r="6" spans="1:31" x14ac:dyDescent="0.3">
      <c r="B6" s="150" t="s">
        <v>5</v>
      </c>
      <c r="C6" s="151"/>
      <c r="D6" s="151"/>
      <c r="E6" s="151"/>
      <c r="F6" s="151"/>
      <c r="G6" s="137"/>
    </row>
    <row r="7" spans="1:31" ht="15.6" customHeight="1" x14ac:dyDescent="0.3">
      <c r="B7" s="5" t="s">
        <v>6</v>
      </c>
      <c r="C7" s="6" t="s">
        <v>7</v>
      </c>
      <c r="D7" s="5" t="s">
        <v>8</v>
      </c>
      <c r="E7" s="152" t="s">
        <v>9</v>
      </c>
      <c r="F7" s="153"/>
      <c r="G7" s="154"/>
    </row>
    <row r="8" spans="1:31" ht="16.8" x14ac:dyDescent="0.3">
      <c r="B8" s="7">
        <v>1</v>
      </c>
      <c r="C8" s="8" t="s">
        <v>11</v>
      </c>
      <c r="D8" s="9">
        <f>SUM(SUM(D117,D114,D116,D132,D147,D162,D205,D206)/5+SUM(D161,D175,D190,D203)/3+SUM(D123,D128,D153,D158,D182,D187)/2+SUM(D199,D193,D177,D171,D165,D148,D141,D146,D135,D119,D118))</f>
        <v>71.233333333333334</v>
      </c>
      <c r="E8" s="146">
        <f>SUM(SUM(E17,E19,E20,E35,E50,E65,E108,E109)/5+SUM(E26,E31,E56,E61,E85,E90)/2+SUM(E64,E78,E93,E106)/3+SUM(E21,E22,E38,E44,E49,E51,E68,E74,E80,E96,E102))</f>
        <v>68.333333333333343</v>
      </c>
      <c r="F8" s="147"/>
      <c r="G8" s="148"/>
      <c r="J8" s="13"/>
      <c r="K8" s="143" t="s">
        <v>16</v>
      </c>
      <c r="L8" s="144"/>
    </row>
    <row r="9" spans="1:31" ht="16.8" x14ac:dyDescent="0.3">
      <c r="B9" s="10">
        <v>2</v>
      </c>
      <c r="C9" s="11" t="s">
        <v>12</v>
      </c>
      <c r="D9" s="9">
        <f>SUM(SUM(D117,D114,D116,D132,D147,D162,D205,D206)/5+SUM(D161,D175,D190,D203)/3+SUM(D136,D166,D168,D194,D196)/2+SUM(D120,D125,D127,D133,D143,D150,D152,D157,D163,D173,D174,D179,D181,D186,D191,D201,D202))</f>
        <v>74.733333333333334</v>
      </c>
      <c r="E9" s="146">
        <f>SUM(SUM(E17,E19,E20,E35,E50,E65,E108,E109)/5+SUM(E64,E78,E93,E106)/3+SUM(E39,E69,E71,E97,E99)/2+SUM(E23,E28,E30,E36,E46,E53,E55,E60,E66,E76,E77,E82,E84,E89,E94,E104,E105))</f>
        <v>71.333333333333343</v>
      </c>
      <c r="F9" s="147"/>
      <c r="G9" s="148"/>
      <c r="J9" s="14"/>
      <c r="K9" s="143" t="s">
        <v>17</v>
      </c>
      <c r="L9" s="144"/>
    </row>
    <row r="10" spans="1:31" ht="16.8" x14ac:dyDescent="0.3">
      <c r="B10" s="10">
        <v>3</v>
      </c>
      <c r="C10" s="11" t="s">
        <v>13</v>
      </c>
      <c r="D10" s="9">
        <f>SUM(SUM(D117,D114,D116,D132,D147,D162,D205,D206)/5+SUM(D121,D128,D153,D160,D166,D176,D182,D189,D204,D194)/2+SUM(D126,D134,D138,D140,D144,D149,D170,D178,D198))</f>
        <v>67.900000000000006</v>
      </c>
      <c r="E10" s="146">
        <f>SUM(SUM(E17,E19,E20,E35,E50,E65,E108,E109)/5+SUM(E24,E31,E56,E63,E69,E79,E85,E92,E97,E107)/2+SUM(E29,E37,E41,E43,E47,E52,E73,E81,E101))</f>
        <v>64.5</v>
      </c>
      <c r="F10" s="147"/>
      <c r="G10" s="148"/>
      <c r="J10" s="15"/>
      <c r="K10" s="143" t="s">
        <v>18</v>
      </c>
      <c r="L10" s="144"/>
    </row>
    <row r="11" spans="1:31" ht="16.8" x14ac:dyDescent="0.3">
      <c r="B11" s="10">
        <v>4</v>
      </c>
      <c r="C11" s="11" t="s">
        <v>14</v>
      </c>
      <c r="D11" s="9">
        <f>SUM(SUM(D117,D114,D116,D132,D147,D162,D205,D206)/5+SUM(D121,D160,D176,D189,D204)/2+SUM(D115,D124,D130,D131,D137,D142,D154,D156,D159,D164,D167,D172,D183,D185,D188,D192,D195,D200))</f>
        <v>90.9</v>
      </c>
      <c r="E11" s="146">
        <f>SUM(SUM(E17,E19,E20,E35,E50,E65,E108,E109)/5+SUM(E24,E63,E79,E92,E107)/2+SUM(E18,E27,E33,E34,E40,E45,E57,E59,E62,E67,E70,E75,E86,E88,E91,E95,E98,E103))</f>
        <v>84</v>
      </c>
      <c r="F11" s="147"/>
      <c r="G11" s="148"/>
      <c r="J11" s="16"/>
      <c r="K11" s="143" t="s">
        <v>19</v>
      </c>
      <c r="L11" s="144"/>
    </row>
    <row r="12" spans="1:31" ht="16.8" x14ac:dyDescent="0.3">
      <c r="B12" s="10">
        <v>5</v>
      </c>
      <c r="C12" s="11" t="s">
        <v>15</v>
      </c>
      <c r="D12" s="9">
        <f>SUM(SUM(D117,D114,D116,D132,D147,D162,D205,D206)/5+SUM(D161,D175,D190,D203)/3+SUM(D123,D136,D158,D168,D187,D196)/2+SUM(D122,D129,D139,D145,D151,D155,D169,D180,D184,D197))</f>
        <v>68.233333333333334</v>
      </c>
      <c r="E12" s="146">
        <f>SUM(SUM(E17,E19,E20,E35,E50,E65,E108,E109)/5+SUM(E64,E78,E93,E106)/3+SUM(E26,E39,E61,E71,E90,E99)/2+SUM(E25,E32,E42,E48,E54,E58,E72,E83,E87,E100))</f>
        <v>73.833333333333343</v>
      </c>
      <c r="F12" s="147"/>
      <c r="G12" s="148"/>
      <c r="J12" s="17"/>
      <c r="K12" s="145" t="s">
        <v>20</v>
      </c>
      <c r="L12" s="145"/>
    </row>
    <row r="13" spans="1:31" ht="16.8" x14ac:dyDescent="0.3">
      <c r="B13" s="155" t="s">
        <v>10</v>
      </c>
      <c r="C13" s="156"/>
      <c r="D13" s="12">
        <f>SUM(D8:D12)</f>
        <v>373</v>
      </c>
      <c r="E13" s="155">
        <f>SUM(E8:G12)</f>
        <v>362</v>
      </c>
      <c r="F13" s="156"/>
      <c r="G13" s="156"/>
    </row>
    <row r="16" spans="1:31" ht="52.2" x14ac:dyDescent="0.3">
      <c r="A16" s="18" t="s">
        <v>21</v>
      </c>
      <c r="B16" s="19" t="s">
        <v>22</v>
      </c>
      <c r="C16" s="20" t="s">
        <v>23</v>
      </c>
      <c r="D16" s="20" t="s">
        <v>8</v>
      </c>
      <c r="E16" s="20" t="s">
        <v>9</v>
      </c>
      <c r="F16" s="21">
        <v>46103</v>
      </c>
      <c r="G16" s="21">
        <f t="shared" ref="G16:AE16" si="0">F16+1</f>
        <v>46104</v>
      </c>
      <c r="H16" s="21">
        <f t="shared" si="0"/>
        <v>46105</v>
      </c>
      <c r="I16" s="21">
        <f t="shared" si="0"/>
        <v>46106</v>
      </c>
      <c r="J16" s="21">
        <f t="shared" si="0"/>
        <v>46107</v>
      </c>
      <c r="K16" s="21">
        <f t="shared" si="0"/>
        <v>46108</v>
      </c>
      <c r="L16" s="21">
        <f t="shared" si="0"/>
        <v>46109</v>
      </c>
      <c r="M16" s="21">
        <f t="shared" si="0"/>
        <v>46110</v>
      </c>
      <c r="N16" s="21">
        <f t="shared" si="0"/>
        <v>46111</v>
      </c>
      <c r="O16" s="21">
        <f>N16+1</f>
        <v>46112</v>
      </c>
      <c r="P16" s="21">
        <f t="shared" si="0"/>
        <v>46113</v>
      </c>
      <c r="Q16" s="21">
        <f t="shared" si="0"/>
        <v>46114</v>
      </c>
      <c r="R16" s="21">
        <f t="shared" si="0"/>
        <v>46115</v>
      </c>
      <c r="S16" s="21">
        <f t="shared" si="0"/>
        <v>46116</v>
      </c>
      <c r="T16" s="21">
        <f>S16+1</f>
        <v>46117</v>
      </c>
      <c r="U16" s="21">
        <f t="shared" si="0"/>
        <v>46118</v>
      </c>
      <c r="V16" s="21">
        <f t="shared" si="0"/>
        <v>46119</v>
      </c>
      <c r="W16" s="21">
        <f t="shared" si="0"/>
        <v>46120</v>
      </c>
      <c r="X16" s="21">
        <f t="shared" si="0"/>
        <v>46121</v>
      </c>
      <c r="Y16" s="21">
        <f t="shared" si="0"/>
        <v>46122</v>
      </c>
      <c r="Z16" s="21">
        <f t="shared" si="0"/>
        <v>46123</v>
      </c>
      <c r="AA16" s="21">
        <f t="shared" si="0"/>
        <v>46124</v>
      </c>
      <c r="AB16" s="21">
        <f t="shared" si="0"/>
        <v>46125</v>
      </c>
      <c r="AC16" s="21">
        <f t="shared" si="0"/>
        <v>46126</v>
      </c>
      <c r="AD16" s="21">
        <f t="shared" si="0"/>
        <v>46127</v>
      </c>
      <c r="AE16" s="21">
        <f t="shared" si="0"/>
        <v>46128</v>
      </c>
    </row>
    <row r="17" spans="1:31" ht="16.8" x14ac:dyDescent="0.3">
      <c r="A17" s="134" t="s">
        <v>24</v>
      </c>
      <c r="B17" s="135"/>
      <c r="C17" s="22" t="s">
        <v>25</v>
      </c>
      <c r="D17" s="23"/>
      <c r="E17" s="24">
        <v>4</v>
      </c>
      <c r="F17" s="24">
        <v>4</v>
      </c>
      <c r="G17" s="25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</row>
    <row r="18" spans="1:31" ht="16.8" x14ac:dyDescent="0.3">
      <c r="A18" s="134" t="s">
        <v>26</v>
      </c>
      <c r="B18" s="135"/>
      <c r="C18" s="27" t="s">
        <v>40</v>
      </c>
      <c r="D18" s="28"/>
      <c r="E18" s="24">
        <v>4</v>
      </c>
      <c r="F18" s="24">
        <v>4</v>
      </c>
      <c r="G18" s="25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</row>
    <row r="19" spans="1:31" ht="16.8" x14ac:dyDescent="0.3">
      <c r="A19" s="134" t="s">
        <v>27</v>
      </c>
      <c r="B19" s="135"/>
      <c r="C19" s="22" t="s">
        <v>25</v>
      </c>
      <c r="D19" s="29"/>
      <c r="E19" s="24">
        <v>4</v>
      </c>
      <c r="F19" s="24">
        <v>4</v>
      </c>
      <c r="G19" s="25">
        <v>0</v>
      </c>
      <c r="H19" s="30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</row>
    <row r="20" spans="1:31" ht="16.8" x14ac:dyDescent="0.3">
      <c r="A20" s="136" t="s">
        <v>28</v>
      </c>
      <c r="B20" s="137"/>
      <c r="C20" s="27" t="s">
        <v>25</v>
      </c>
      <c r="D20" s="29"/>
      <c r="E20" s="31">
        <v>24</v>
      </c>
      <c r="F20" s="31">
        <v>24</v>
      </c>
      <c r="G20" s="31">
        <v>12</v>
      </c>
      <c r="H20" s="31">
        <v>12</v>
      </c>
      <c r="I20" s="32">
        <v>0</v>
      </c>
      <c r="J20" s="26">
        <v>0</v>
      </c>
      <c r="K20" s="30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</row>
    <row r="21" spans="1:31" ht="33.6" customHeight="1" x14ac:dyDescent="0.3">
      <c r="A21" s="138" t="s">
        <v>29</v>
      </c>
      <c r="B21" s="33" t="s">
        <v>48</v>
      </c>
      <c r="C21" s="51" t="s">
        <v>41</v>
      </c>
      <c r="D21" s="35"/>
      <c r="E21" s="34">
        <v>1</v>
      </c>
      <c r="F21" s="34">
        <v>1</v>
      </c>
      <c r="G21" s="34">
        <v>1</v>
      </c>
      <c r="H21" s="25">
        <v>0</v>
      </c>
      <c r="I21" s="30">
        <v>0</v>
      </c>
      <c r="J21" s="54">
        <v>0</v>
      </c>
      <c r="K21" s="34">
        <v>0</v>
      </c>
      <c r="L21" s="31">
        <v>0</v>
      </c>
      <c r="M21" s="30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</row>
    <row r="22" spans="1:31" ht="16.8" x14ac:dyDescent="0.3">
      <c r="A22" s="139"/>
      <c r="B22" s="33" t="s">
        <v>30</v>
      </c>
      <c r="C22" s="51" t="s">
        <v>41</v>
      </c>
      <c r="D22" s="36"/>
      <c r="E22" s="34">
        <v>1</v>
      </c>
      <c r="F22" s="34">
        <v>1</v>
      </c>
      <c r="G22" s="34">
        <v>1</v>
      </c>
      <c r="H22" s="25">
        <v>0</v>
      </c>
      <c r="I22" s="26">
        <v>0</v>
      </c>
      <c r="J22" s="34">
        <v>0</v>
      </c>
      <c r="K22" s="34">
        <v>0</v>
      </c>
      <c r="L22" s="31">
        <v>0</v>
      </c>
      <c r="M22" s="30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</row>
    <row r="23" spans="1:31" ht="16.8" x14ac:dyDescent="0.3">
      <c r="A23" s="139"/>
      <c r="B23" s="33" t="s">
        <v>31</v>
      </c>
      <c r="C23" s="51" t="s">
        <v>42</v>
      </c>
      <c r="D23" s="36"/>
      <c r="E23" s="34">
        <v>1</v>
      </c>
      <c r="F23" s="34">
        <v>1</v>
      </c>
      <c r="G23" s="34">
        <v>1</v>
      </c>
      <c r="H23" s="25">
        <v>0</v>
      </c>
      <c r="I23" s="26">
        <v>0</v>
      </c>
      <c r="J23" s="34">
        <v>0</v>
      </c>
      <c r="K23" s="34">
        <v>0</v>
      </c>
      <c r="L23" s="31">
        <v>0</v>
      </c>
      <c r="M23" s="30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</row>
    <row r="24" spans="1:31" ht="16.8" x14ac:dyDescent="0.3">
      <c r="A24" s="139"/>
      <c r="B24" s="33" t="s">
        <v>49</v>
      </c>
      <c r="C24" s="51" t="s">
        <v>43</v>
      </c>
      <c r="D24" s="36"/>
      <c r="E24" s="34">
        <v>2</v>
      </c>
      <c r="F24" s="34">
        <v>2</v>
      </c>
      <c r="G24" s="34">
        <v>2</v>
      </c>
      <c r="H24" s="25">
        <v>0</v>
      </c>
      <c r="I24" s="39">
        <v>0</v>
      </c>
      <c r="J24" s="34">
        <v>0</v>
      </c>
      <c r="K24" s="34">
        <v>0</v>
      </c>
      <c r="L24" s="31">
        <v>0</v>
      </c>
      <c r="M24" s="30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</row>
    <row r="25" spans="1:31" ht="16.8" x14ac:dyDescent="0.3">
      <c r="A25" s="139"/>
      <c r="B25" s="33" t="s">
        <v>50</v>
      </c>
      <c r="C25" s="24" t="s">
        <v>44</v>
      </c>
      <c r="D25" s="36"/>
      <c r="E25" s="34">
        <v>1</v>
      </c>
      <c r="F25" s="34">
        <v>1</v>
      </c>
      <c r="G25" s="34">
        <v>1</v>
      </c>
      <c r="H25" s="25">
        <v>0</v>
      </c>
      <c r="I25" s="39">
        <v>0</v>
      </c>
      <c r="J25" s="34">
        <v>0</v>
      </c>
      <c r="K25" s="34">
        <v>0</v>
      </c>
      <c r="L25" s="31">
        <v>0</v>
      </c>
      <c r="M25" s="30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</row>
    <row r="26" spans="1:31" ht="16.8" customHeight="1" x14ac:dyDescent="0.3">
      <c r="A26" s="139"/>
      <c r="B26" s="33" t="s">
        <v>51</v>
      </c>
      <c r="C26" s="24" t="s">
        <v>45</v>
      </c>
      <c r="D26" s="36"/>
      <c r="E26" s="34">
        <v>1</v>
      </c>
      <c r="F26" s="34">
        <v>1</v>
      </c>
      <c r="G26" s="34">
        <v>1</v>
      </c>
      <c r="H26" s="34">
        <v>1</v>
      </c>
      <c r="I26" s="25">
        <v>0</v>
      </c>
      <c r="J26" s="55">
        <v>0</v>
      </c>
      <c r="K26" s="34">
        <v>0</v>
      </c>
      <c r="L26" s="31">
        <v>0</v>
      </c>
      <c r="M26" s="30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</row>
    <row r="27" spans="1:31" ht="16.8" x14ac:dyDescent="0.3">
      <c r="A27" s="139"/>
      <c r="B27" s="33" t="s">
        <v>52</v>
      </c>
      <c r="C27" s="24" t="s">
        <v>40</v>
      </c>
      <c r="D27" s="36"/>
      <c r="E27" s="34">
        <v>1</v>
      </c>
      <c r="F27" s="34">
        <v>1</v>
      </c>
      <c r="G27" s="34">
        <v>1</v>
      </c>
      <c r="H27" s="34">
        <v>1</v>
      </c>
      <c r="I27" s="25">
        <v>0</v>
      </c>
      <c r="J27" s="30">
        <v>0</v>
      </c>
      <c r="K27" s="34">
        <v>0</v>
      </c>
      <c r="L27" s="31">
        <v>0</v>
      </c>
      <c r="M27" s="31">
        <v>0</v>
      </c>
      <c r="N27" s="30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</row>
    <row r="28" spans="1:31" ht="16.8" x14ac:dyDescent="0.3">
      <c r="A28" s="139"/>
      <c r="B28" s="33" t="s">
        <v>53</v>
      </c>
      <c r="C28" s="24" t="s">
        <v>42</v>
      </c>
      <c r="D28" s="36"/>
      <c r="E28" s="34">
        <v>2</v>
      </c>
      <c r="F28" s="34">
        <v>2</v>
      </c>
      <c r="G28" s="34">
        <v>2</v>
      </c>
      <c r="H28" s="34">
        <v>2</v>
      </c>
      <c r="I28" s="25">
        <v>0</v>
      </c>
      <c r="J28" s="34">
        <v>0</v>
      </c>
      <c r="K28" s="34">
        <v>0</v>
      </c>
      <c r="L28" s="31">
        <v>0</v>
      </c>
      <c r="M28" s="31">
        <v>0</v>
      </c>
      <c r="N28" s="30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</row>
    <row r="29" spans="1:31" ht="16.8" x14ac:dyDescent="0.3">
      <c r="A29" s="139"/>
      <c r="B29" s="33" t="s">
        <v>54</v>
      </c>
      <c r="C29" s="24" t="s">
        <v>46</v>
      </c>
      <c r="D29" s="36"/>
      <c r="E29" s="34">
        <v>2</v>
      </c>
      <c r="F29" s="34">
        <v>2</v>
      </c>
      <c r="G29" s="34">
        <v>2</v>
      </c>
      <c r="H29" s="34">
        <v>2</v>
      </c>
      <c r="I29" s="25">
        <v>0</v>
      </c>
      <c r="J29" s="34">
        <v>0</v>
      </c>
      <c r="K29" s="34">
        <v>0</v>
      </c>
      <c r="L29" s="31">
        <v>0</v>
      </c>
      <c r="M29" s="31">
        <v>0</v>
      </c>
      <c r="N29" s="30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</row>
    <row r="30" spans="1:31" ht="16.8" x14ac:dyDescent="0.3">
      <c r="A30" s="139"/>
      <c r="B30" s="33" t="s">
        <v>55</v>
      </c>
      <c r="C30" s="24" t="s">
        <v>42</v>
      </c>
      <c r="D30" s="36"/>
      <c r="E30" s="34">
        <v>2</v>
      </c>
      <c r="F30" s="34">
        <v>2</v>
      </c>
      <c r="G30" s="34">
        <v>2</v>
      </c>
      <c r="H30" s="34">
        <v>2</v>
      </c>
      <c r="I30" s="34">
        <v>2</v>
      </c>
      <c r="J30" s="25">
        <v>0</v>
      </c>
      <c r="K30" s="34">
        <v>0</v>
      </c>
      <c r="L30" s="31">
        <v>0</v>
      </c>
      <c r="M30" s="31">
        <v>0</v>
      </c>
      <c r="N30" s="30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</row>
    <row r="31" spans="1:31" ht="16.8" x14ac:dyDescent="0.3">
      <c r="A31" s="139"/>
      <c r="B31" s="33" t="s">
        <v>56</v>
      </c>
      <c r="C31" s="24" t="s">
        <v>47</v>
      </c>
      <c r="D31" s="36"/>
      <c r="E31" s="34">
        <v>2</v>
      </c>
      <c r="F31" s="34">
        <v>2</v>
      </c>
      <c r="G31" s="34">
        <v>2</v>
      </c>
      <c r="H31" s="34">
        <v>2</v>
      </c>
      <c r="I31" s="34">
        <v>2</v>
      </c>
      <c r="J31" s="25">
        <v>0</v>
      </c>
      <c r="K31" s="55">
        <v>0</v>
      </c>
      <c r="L31" s="31">
        <v>0</v>
      </c>
      <c r="M31" s="31">
        <v>0</v>
      </c>
      <c r="N31" s="30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</row>
    <row r="32" spans="1:31" ht="16.8" x14ac:dyDescent="0.3">
      <c r="A32" s="139"/>
      <c r="B32" s="33" t="s">
        <v>57</v>
      </c>
      <c r="C32" s="24" t="s">
        <v>44</v>
      </c>
      <c r="D32" s="36"/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25">
        <v>0</v>
      </c>
      <c r="K32" s="34">
        <v>0</v>
      </c>
      <c r="L32" s="31">
        <v>0</v>
      </c>
      <c r="M32" s="31">
        <v>0</v>
      </c>
      <c r="N32" s="30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</row>
    <row r="33" spans="1:31" ht="16.8" x14ac:dyDescent="0.3">
      <c r="A33" s="139"/>
      <c r="B33" s="33" t="s">
        <v>58</v>
      </c>
      <c r="C33" s="24" t="s">
        <v>40</v>
      </c>
      <c r="D33" s="36"/>
      <c r="E33" s="34">
        <v>2</v>
      </c>
      <c r="F33" s="34">
        <v>2</v>
      </c>
      <c r="G33" s="34">
        <v>2</v>
      </c>
      <c r="H33" s="34">
        <v>2</v>
      </c>
      <c r="I33" s="55">
        <v>2</v>
      </c>
      <c r="J33" s="25">
        <v>0</v>
      </c>
      <c r="K33" s="34">
        <v>0</v>
      </c>
      <c r="L33" s="34">
        <v>0</v>
      </c>
      <c r="M33" s="31">
        <v>0</v>
      </c>
      <c r="N33" s="31">
        <v>0</v>
      </c>
      <c r="O33" s="30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</row>
    <row r="34" spans="1:31" ht="16.8" x14ac:dyDescent="0.3">
      <c r="A34" s="139"/>
      <c r="B34" s="33" t="s">
        <v>59</v>
      </c>
      <c r="C34" s="24" t="s">
        <v>40</v>
      </c>
      <c r="D34" s="36"/>
      <c r="E34" s="34">
        <v>2</v>
      </c>
      <c r="F34" s="34">
        <v>2</v>
      </c>
      <c r="G34" s="34">
        <v>2</v>
      </c>
      <c r="H34" s="34">
        <v>2</v>
      </c>
      <c r="I34" s="34">
        <v>2</v>
      </c>
      <c r="J34" s="25">
        <v>0</v>
      </c>
      <c r="K34" s="34">
        <v>0</v>
      </c>
      <c r="L34" s="34">
        <v>0</v>
      </c>
      <c r="M34" s="31">
        <v>0</v>
      </c>
      <c r="N34" s="31">
        <v>0</v>
      </c>
      <c r="O34" s="30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</row>
    <row r="35" spans="1:31" ht="16.8" x14ac:dyDescent="0.3">
      <c r="A35" s="140"/>
      <c r="B35" s="33" t="s">
        <v>32</v>
      </c>
      <c r="C35" s="26" t="s">
        <v>25</v>
      </c>
      <c r="D35" s="36"/>
      <c r="E35" s="34">
        <v>10</v>
      </c>
      <c r="F35" s="34">
        <v>10</v>
      </c>
      <c r="G35" s="34">
        <v>10</v>
      </c>
      <c r="H35" s="34">
        <v>10</v>
      </c>
      <c r="I35" s="34">
        <v>10</v>
      </c>
      <c r="J35" s="34">
        <v>10</v>
      </c>
      <c r="K35" s="25">
        <v>0</v>
      </c>
      <c r="L35" s="34">
        <v>0</v>
      </c>
      <c r="M35" s="31">
        <v>0</v>
      </c>
      <c r="N35" s="31">
        <v>0</v>
      </c>
      <c r="O35" s="30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</row>
    <row r="36" spans="1:31" ht="16.8" x14ac:dyDescent="0.3">
      <c r="A36" s="141" t="s">
        <v>33</v>
      </c>
      <c r="B36" s="33" t="s">
        <v>48</v>
      </c>
      <c r="C36" s="52" t="s">
        <v>60</v>
      </c>
      <c r="D36" s="35"/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25">
        <v>0</v>
      </c>
      <c r="M36" s="56">
        <v>0</v>
      </c>
      <c r="N36" s="34">
        <v>0</v>
      </c>
      <c r="O36" s="31">
        <v>0</v>
      </c>
      <c r="P36" s="31">
        <v>0</v>
      </c>
      <c r="Q36" s="30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</row>
    <row r="37" spans="1:31" ht="16.8" x14ac:dyDescent="0.3">
      <c r="A37" s="142"/>
      <c r="B37" s="33" t="s">
        <v>30</v>
      </c>
      <c r="C37" s="53" t="s">
        <v>46</v>
      </c>
      <c r="D37" s="40"/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25">
        <v>0</v>
      </c>
      <c r="M37" s="34">
        <v>0</v>
      </c>
      <c r="N37" s="34">
        <v>0</v>
      </c>
      <c r="O37" s="34">
        <v>0</v>
      </c>
      <c r="P37" s="31">
        <v>0</v>
      </c>
      <c r="Q37" s="30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</row>
    <row r="38" spans="1:31" ht="16.8" x14ac:dyDescent="0.3">
      <c r="A38" s="142"/>
      <c r="B38" s="33" t="s">
        <v>31</v>
      </c>
      <c r="C38" s="53" t="s">
        <v>61</v>
      </c>
      <c r="D38" s="40"/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34">
        <v>1</v>
      </c>
      <c r="L38" s="25">
        <v>0</v>
      </c>
      <c r="M38" s="34">
        <v>0</v>
      </c>
      <c r="N38" s="34">
        <v>0</v>
      </c>
      <c r="O38" s="34">
        <v>0</v>
      </c>
      <c r="P38" s="31">
        <v>0</v>
      </c>
      <c r="Q38" s="30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</row>
    <row r="39" spans="1:31" ht="16.8" x14ac:dyDescent="0.3">
      <c r="A39" s="142"/>
      <c r="B39" s="33" t="s">
        <v>49</v>
      </c>
      <c r="C39" s="53" t="s">
        <v>62</v>
      </c>
      <c r="D39" s="40"/>
      <c r="E39" s="34">
        <v>2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34">
        <v>1</v>
      </c>
      <c r="L39" s="25">
        <v>0</v>
      </c>
      <c r="M39" s="56">
        <v>0</v>
      </c>
      <c r="N39" s="34">
        <v>0</v>
      </c>
      <c r="O39" s="34">
        <v>0</v>
      </c>
      <c r="P39" s="31">
        <v>0</v>
      </c>
      <c r="Q39" s="30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</row>
    <row r="40" spans="1:31" ht="16.8" x14ac:dyDescent="0.3">
      <c r="A40" s="142"/>
      <c r="B40" s="33" t="s">
        <v>50</v>
      </c>
      <c r="C40" s="53" t="s">
        <v>40</v>
      </c>
      <c r="D40" s="40"/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34">
        <v>1</v>
      </c>
      <c r="L40" s="25">
        <v>0</v>
      </c>
      <c r="M40" s="34">
        <v>0</v>
      </c>
      <c r="N40" s="34">
        <v>0</v>
      </c>
      <c r="O40" s="34">
        <v>0</v>
      </c>
      <c r="P40" s="31">
        <v>0</v>
      </c>
      <c r="Q40" s="30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</row>
    <row r="41" spans="1:31" ht="16.8" x14ac:dyDescent="0.3">
      <c r="A41" s="142"/>
      <c r="B41" s="33" t="s">
        <v>51</v>
      </c>
      <c r="C41" s="53" t="s">
        <v>46</v>
      </c>
      <c r="D41" s="40"/>
      <c r="E41" s="34">
        <v>2</v>
      </c>
      <c r="F41" s="34">
        <v>2</v>
      </c>
      <c r="G41" s="34">
        <v>2</v>
      </c>
      <c r="H41" s="34">
        <v>2</v>
      </c>
      <c r="I41" s="34">
        <v>2</v>
      </c>
      <c r="J41" s="34">
        <v>2</v>
      </c>
      <c r="K41" s="34">
        <v>2</v>
      </c>
      <c r="L41" s="25">
        <v>0</v>
      </c>
      <c r="M41" s="34">
        <v>0</v>
      </c>
      <c r="N41" s="34">
        <v>0</v>
      </c>
      <c r="O41" s="34">
        <v>0</v>
      </c>
      <c r="P41" s="31">
        <v>0</v>
      </c>
      <c r="Q41" s="31">
        <v>0</v>
      </c>
      <c r="R41" s="30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</row>
    <row r="42" spans="1:31" ht="16.8" x14ac:dyDescent="0.3">
      <c r="A42" s="142"/>
      <c r="B42" s="33" t="s">
        <v>52</v>
      </c>
      <c r="C42" s="53" t="s">
        <v>63</v>
      </c>
      <c r="D42" s="40"/>
      <c r="E42" s="34">
        <v>2</v>
      </c>
      <c r="F42" s="34">
        <v>2</v>
      </c>
      <c r="G42" s="34">
        <v>2</v>
      </c>
      <c r="H42" s="34">
        <v>2</v>
      </c>
      <c r="I42" s="34">
        <v>2</v>
      </c>
      <c r="J42" s="34">
        <v>2</v>
      </c>
      <c r="K42" s="34">
        <v>2</v>
      </c>
      <c r="L42" s="25">
        <v>0</v>
      </c>
      <c r="M42" s="55">
        <v>0</v>
      </c>
      <c r="N42" s="34">
        <v>0</v>
      </c>
      <c r="O42" s="34">
        <v>0</v>
      </c>
      <c r="P42" s="31">
        <v>0</v>
      </c>
      <c r="Q42" s="31">
        <v>0</v>
      </c>
      <c r="R42" s="30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</row>
    <row r="43" spans="1:31" ht="16.8" x14ac:dyDescent="0.3">
      <c r="A43" s="142"/>
      <c r="B43" s="33" t="s">
        <v>53</v>
      </c>
      <c r="C43" s="53" t="s">
        <v>46</v>
      </c>
      <c r="D43" s="40"/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25">
        <v>0</v>
      </c>
      <c r="M43" s="34">
        <v>0</v>
      </c>
      <c r="N43" s="34">
        <v>0</v>
      </c>
      <c r="O43" s="34">
        <v>0</v>
      </c>
      <c r="P43" s="31">
        <v>0</v>
      </c>
      <c r="Q43" s="31">
        <v>0</v>
      </c>
      <c r="R43" s="30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</row>
    <row r="44" spans="1:31" ht="16.8" x14ac:dyDescent="0.3">
      <c r="A44" s="142"/>
      <c r="B44" s="33" t="s">
        <v>54</v>
      </c>
      <c r="C44" s="53" t="s">
        <v>41</v>
      </c>
      <c r="D44" s="40"/>
      <c r="E44" s="34">
        <v>2</v>
      </c>
      <c r="F44" s="34">
        <v>2</v>
      </c>
      <c r="G44" s="34">
        <v>2</v>
      </c>
      <c r="H44" s="34">
        <v>2</v>
      </c>
      <c r="I44" s="34">
        <v>2</v>
      </c>
      <c r="J44" s="34">
        <v>2</v>
      </c>
      <c r="K44" s="34">
        <v>2</v>
      </c>
      <c r="L44" s="25">
        <v>0</v>
      </c>
      <c r="M44" s="34">
        <v>0</v>
      </c>
      <c r="N44" s="34">
        <v>0</v>
      </c>
      <c r="O44" s="34">
        <v>0</v>
      </c>
      <c r="P44" s="31">
        <v>0</v>
      </c>
      <c r="Q44" s="31">
        <v>0</v>
      </c>
      <c r="R44" s="30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</row>
    <row r="45" spans="1:31" ht="16.8" x14ac:dyDescent="0.3">
      <c r="A45" s="142"/>
      <c r="B45" s="33" t="s">
        <v>55</v>
      </c>
      <c r="C45" s="53" t="s">
        <v>40</v>
      </c>
      <c r="D45" s="40"/>
      <c r="E45" s="34">
        <v>3</v>
      </c>
      <c r="F45" s="34">
        <v>3</v>
      </c>
      <c r="G45" s="34">
        <v>3</v>
      </c>
      <c r="H45" s="34">
        <v>3</v>
      </c>
      <c r="I45" s="34">
        <v>3</v>
      </c>
      <c r="J45" s="34">
        <v>3</v>
      </c>
      <c r="K45" s="34">
        <v>3</v>
      </c>
      <c r="L45" s="25">
        <v>0</v>
      </c>
      <c r="M45" s="30">
        <v>0</v>
      </c>
      <c r="N45" s="34">
        <v>0</v>
      </c>
      <c r="O45" s="34">
        <v>0</v>
      </c>
      <c r="P45" s="31">
        <v>0</v>
      </c>
      <c r="Q45" s="31">
        <v>0</v>
      </c>
      <c r="R45" s="30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</row>
    <row r="46" spans="1:31" ht="16.8" x14ac:dyDescent="0.3">
      <c r="A46" s="142"/>
      <c r="B46" s="33" t="s">
        <v>56</v>
      </c>
      <c r="C46" s="53" t="s">
        <v>42</v>
      </c>
      <c r="D46" s="40"/>
      <c r="E46" s="34">
        <v>3</v>
      </c>
      <c r="F46" s="34">
        <v>3</v>
      </c>
      <c r="G46" s="34">
        <v>3</v>
      </c>
      <c r="H46" s="34">
        <v>3</v>
      </c>
      <c r="I46" s="34">
        <v>3</v>
      </c>
      <c r="J46" s="34">
        <v>3</v>
      </c>
      <c r="K46" s="34">
        <v>3</v>
      </c>
      <c r="L46" s="25">
        <v>0</v>
      </c>
      <c r="M46" s="30">
        <v>0</v>
      </c>
      <c r="N46" s="34">
        <v>0</v>
      </c>
      <c r="O46" s="34">
        <v>0</v>
      </c>
      <c r="P46" s="31">
        <v>0</v>
      </c>
      <c r="Q46" s="31">
        <v>0</v>
      </c>
      <c r="R46" s="30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</row>
    <row r="47" spans="1:31" ht="16.8" x14ac:dyDescent="0.3">
      <c r="A47" s="142"/>
      <c r="B47" s="33" t="s">
        <v>57</v>
      </c>
      <c r="C47" s="53" t="s">
        <v>46</v>
      </c>
      <c r="D47" s="36"/>
      <c r="E47" s="34">
        <v>2</v>
      </c>
      <c r="F47" s="34">
        <v>2</v>
      </c>
      <c r="G47" s="34">
        <v>2</v>
      </c>
      <c r="H47" s="34">
        <v>2</v>
      </c>
      <c r="I47" s="34">
        <v>2</v>
      </c>
      <c r="J47" s="34">
        <v>2</v>
      </c>
      <c r="K47" s="34">
        <v>2</v>
      </c>
      <c r="L47" s="25">
        <v>0</v>
      </c>
      <c r="M47" s="30">
        <v>0</v>
      </c>
      <c r="N47" s="34">
        <v>0</v>
      </c>
      <c r="O47" s="34">
        <v>0</v>
      </c>
      <c r="P47" s="31">
        <v>0</v>
      </c>
      <c r="Q47" s="31">
        <v>0</v>
      </c>
      <c r="R47" s="30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</row>
    <row r="48" spans="1:31" ht="16.8" x14ac:dyDescent="0.3">
      <c r="A48" s="142"/>
      <c r="B48" s="33" t="s">
        <v>58</v>
      </c>
      <c r="C48" s="53" t="s">
        <v>44</v>
      </c>
      <c r="D48" s="36"/>
      <c r="E48" s="34">
        <v>2</v>
      </c>
      <c r="F48" s="34">
        <v>2</v>
      </c>
      <c r="G48" s="34">
        <v>2</v>
      </c>
      <c r="H48" s="34">
        <v>2</v>
      </c>
      <c r="I48" s="34">
        <v>2</v>
      </c>
      <c r="J48" s="34">
        <v>2</v>
      </c>
      <c r="K48" s="34">
        <v>2</v>
      </c>
      <c r="L48" s="25">
        <v>0</v>
      </c>
      <c r="M48" s="30">
        <v>0</v>
      </c>
      <c r="N48" s="34">
        <v>0</v>
      </c>
      <c r="O48" s="34">
        <v>0</v>
      </c>
      <c r="P48" s="31">
        <v>0</v>
      </c>
      <c r="Q48" s="31">
        <v>0</v>
      </c>
      <c r="R48" s="30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</row>
    <row r="49" spans="1:31" ht="16.8" x14ac:dyDescent="0.3">
      <c r="A49" s="142"/>
      <c r="B49" s="33" t="s">
        <v>59</v>
      </c>
      <c r="C49" s="53" t="s">
        <v>41</v>
      </c>
      <c r="D49" s="36"/>
      <c r="E49" s="34">
        <v>2</v>
      </c>
      <c r="F49" s="34">
        <v>2</v>
      </c>
      <c r="G49" s="34">
        <v>2</v>
      </c>
      <c r="H49" s="34">
        <v>2</v>
      </c>
      <c r="I49" s="34">
        <v>2</v>
      </c>
      <c r="J49" s="34">
        <v>2</v>
      </c>
      <c r="K49" s="34">
        <v>2</v>
      </c>
      <c r="L49" s="25">
        <v>0</v>
      </c>
      <c r="M49" s="34">
        <v>0</v>
      </c>
      <c r="N49" s="34">
        <v>0</v>
      </c>
      <c r="O49" s="34">
        <v>0</v>
      </c>
      <c r="P49" s="31">
        <v>0</v>
      </c>
      <c r="Q49" s="31">
        <v>0</v>
      </c>
      <c r="R49" s="30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</row>
    <row r="50" spans="1:31" ht="16.8" x14ac:dyDescent="0.3">
      <c r="A50" s="142"/>
      <c r="B50" s="33" t="s">
        <v>32</v>
      </c>
      <c r="C50" s="26" t="s">
        <v>25</v>
      </c>
      <c r="D50" s="36"/>
      <c r="E50" s="57">
        <v>10</v>
      </c>
      <c r="F50" s="34">
        <v>10</v>
      </c>
      <c r="G50" s="34">
        <v>10</v>
      </c>
      <c r="H50" s="34">
        <v>10</v>
      </c>
      <c r="I50" s="34">
        <v>10</v>
      </c>
      <c r="J50" s="34">
        <v>10</v>
      </c>
      <c r="K50" s="34">
        <v>10</v>
      </c>
      <c r="L50" s="34">
        <v>10</v>
      </c>
      <c r="M50" s="25">
        <v>0</v>
      </c>
      <c r="N50" s="55">
        <v>0</v>
      </c>
      <c r="O50" s="34">
        <v>0</v>
      </c>
      <c r="P50" s="31">
        <v>0</v>
      </c>
      <c r="Q50" s="30">
        <v>0</v>
      </c>
      <c r="R50" s="30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</row>
    <row r="51" spans="1:31" ht="16.8" x14ac:dyDescent="0.3">
      <c r="A51" s="130" t="s">
        <v>34</v>
      </c>
      <c r="B51" s="33" t="s">
        <v>48</v>
      </c>
      <c r="C51" s="24" t="s">
        <v>41</v>
      </c>
      <c r="D51" s="41"/>
      <c r="E51" s="24">
        <v>10</v>
      </c>
      <c r="F51" s="24">
        <v>10</v>
      </c>
      <c r="G51" s="24">
        <v>10</v>
      </c>
      <c r="H51" s="24">
        <v>10</v>
      </c>
      <c r="I51" s="24">
        <v>10</v>
      </c>
      <c r="J51" s="24">
        <v>10</v>
      </c>
      <c r="K51" s="24">
        <v>10</v>
      </c>
      <c r="L51" s="24">
        <v>10</v>
      </c>
      <c r="M51" s="34">
        <v>5</v>
      </c>
      <c r="N51" s="34">
        <v>5</v>
      </c>
      <c r="O51" s="25">
        <v>0</v>
      </c>
      <c r="P51" s="30">
        <v>0</v>
      </c>
      <c r="Q51" s="30">
        <v>0</v>
      </c>
      <c r="R51" s="34">
        <v>0</v>
      </c>
      <c r="S51" s="31">
        <v>0</v>
      </c>
      <c r="T51" s="31">
        <v>0</v>
      </c>
      <c r="U51" s="30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</row>
    <row r="52" spans="1:31" ht="16.8" x14ac:dyDescent="0.3">
      <c r="A52" s="130"/>
      <c r="B52" s="33" t="s">
        <v>30</v>
      </c>
      <c r="C52" s="24" t="s">
        <v>46</v>
      </c>
      <c r="D52" s="41"/>
      <c r="E52" s="24">
        <v>10</v>
      </c>
      <c r="F52" s="24">
        <v>10</v>
      </c>
      <c r="G52" s="24">
        <v>10</v>
      </c>
      <c r="H52" s="24">
        <v>10</v>
      </c>
      <c r="I52" s="24">
        <v>10</v>
      </c>
      <c r="J52" s="24">
        <v>10</v>
      </c>
      <c r="K52" s="24">
        <v>10</v>
      </c>
      <c r="L52" s="24">
        <v>10</v>
      </c>
      <c r="M52" s="34">
        <v>5</v>
      </c>
      <c r="N52" s="34">
        <v>5</v>
      </c>
      <c r="O52" s="25">
        <v>0</v>
      </c>
      <c r="P52" s="56">
        <v>0</v>
      </c>
      <c r="Q52" s="34">
        <v>0</v>
      </c>
      <c r="R52" s="30">
        <v>0</v>
      </c>
      <c r="S52" s="31">
        <v>0</v>
      </c>
      <c r="T52" s="31">
        <v>0</v>
      </c>
      <c r="U52" s="30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</row>
    <row r="53" spans="1:31" ht="16.8" x14ac:dyDescent="0.3">
      <c r="A53" s="130"/>
      <c r="B53" s="33" t="s">
        <v>31</v>
      </c>
      <c r="C53" s="24" t="s">
        <v>42</v>
      </c>
      <c r="D53" s="41"/>
      <c r="E53" s="24">
        <v>4</v>
      </c>
      <c r="F53" s="24">
        <v>4</v>
      </c>
      <c r="G53" s="24">
        <v>4</v>
      </c>
      <c r="H53" s="24">
        <v>4</v>
      </c>
      <c r="I53" s="24">
        <v>4</v>
      </c>
      <c r="J53" s="24">
        <v>4</v>
      </c>
      <c r="K53" s="24">
        <v>4</v>
      </c>
      <c r="L53" s="24">
        <v>4</v>
      </c>
      <c r="M53" s="24">
        <v>4</v>
      </c>
      <c r="N53" s="25">
        <v>0</v>
      </c>
      <c r="O53" s="34">
        <v>0</v>
      </c>
      <c r="P53" s="56">
        <v>0</v>
      </c>
      <c r="Q53" s="34">
        <v>0</v>
      </c>
      <c r="R53" s="34">
        <v>0</v>
      </c>
      <c r="S53" s="30">
        <v>0</v>
      </c>
      <c r="T53" s="31">
        <v>0</v>
      </c>
      <c r="U53" s="30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</row>
    <row r="54" spans="1:31" ht="16.8" x14ac:dyDescent="0.3">
      <c r="A54" s="130"/>
      <c r="B54" s="33" t="s">
        <v>49</v>
      </c>
      <c r="C54" s="24" t="s">
        <v>44</v>
      </c>
      <c r="D54" s="41"/>
      <c r="E54" s="24">
        <v>12</v>
      </c>
      <c r="F54" s="24">
        <v>12</v>
      </c>
      <c r="G54" s="24">
        <v>12</v>
      </c>
      <c r="H54" s="24">
        <v>12</v>
      </c>
      <c r="I54" s="24">
        <v>12</v>
      </c>
      <c r="J54" s="24">
        <v>12</v>
      </c>
      <c r="K54" s="24">
        <v>12</v>
      </c>
      <c r="L54" s="24">
        <v>12</v>
      </c>
      <c r="M54" s="24">
        <v>4</v>
      </c>
      <c r="N54" s="24">
        <v>4</v>
      </c>
      <c r="O54" s="24">
        <v>4</v>
      </c>
      <c r="P54" s="25">
        <v>0</v>
      </c>
      <c r="Q54" s="30">
        <v>0</v>
      </c>
      <c r="R54" s="34">
        <v>0</v>
      </c>
      <c r="S54" s="31">
        <v>0</v>
      </c>
      <c r="T54" s="31">
        <v>0</v>
      </c>
      <c r="U54" s="30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</row>
    <row r="55" spans="1:31" ht="16.8" x14ac:dyDescent="0.3">
      <c r="A55" s="130"/>
      <c r="B55" s="33" t="s">
        <v>50</v>
      </c>
      <c r="C55" s="24" t="s">
        <v>42</v>
      </c>
      <c r="D55" s="41"/>
      <c r="E55" s="24">
        <v>6</v>
      </c>
      <c r="F55" s="24">
        <v>6</v>
      </c>
      <c r="G55" s="24">
        <v>6</v>
      </c>
      <c r="H55" s="24">
        <v>6</v>
      </c>
      <c r="I55" s="24">
        <v>6</v>
      </c>
      <c r="J55" s="24">
        <v>6</v>
      </c>
      <c r="K55" s="24">
        <v>6</v>
      </c>
      <c r="L55" s="24">
        <v>6</v>
      </c>
      <c r="M55" s="24">
        <v>6</v>
      </c>
      <c r="N55" s="24">
        <v>3</v>
      </c>
      <c r="O55" s="24">
        <v>3</v>
      </c>
      <c r="P55" s="25">
        <v>0</v>
      </c>
      <c r="Q55" s="30">
        <v>0</v>
      </c>
      <c r="R55" s="34">
        <v>0</v>
      </c>
      <c r="S55" s="31">
        <v>0</v>
      </c>
      <c r="T55" s="34">
        <v>0</v>
      </c>
      <c r="U55" s="34">
        <v>0</v>
      </c>
      <c r="V55" s="31">
        <v>0</v>
      </c>
      <c r="W55" s="30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</row>
    <row r="56" spans="1:31" ht="16.8" x14ac:dyDescent="0.3">
      <c r="A56" s="130"/>
      <c r="B56" s="33" t="s">
        <v>51</v>
      </c>
      <c r="C56" s="24" t="s">
        <v>64</v>
      </c>
      <c r="D56" s="41"/>
      <c r="E56" s="24">
        <v>20</v>
      </c>
      <c r="F56" s="24">
        <v>20</v>
      </c>
      <c r="G56" s="24">
        <v>20</v>
      </c>
      <c r="H56" s="24">
        <v>20</v>
      </c>
      <c r="I56" s="24">
        <v>20</v>
      </c>
      <c r="J56" s="24">
        <v>20</v>
      </c>
      <c r="K56" s="24">
        <v>20</v>
      </c>
      <c r="L56" s="24">
        <v>20</v>
      </c>
      <c r="M56" s="24">
        <v>20</v>
      </c>
      <c r="N56" s="24">
        <v>20</v>
      </c>
      <c r="O56" s="24">
        <v>7</v>
      </c>
      <c r="P56" s="24">
        <v>7</v>
      </c>
      <c r="Q56" s="24">
        <v>6</v>
      </c>
      <c r="R56" s="25">
        <v>0</v>
      </c>
      <c r="S56" s="34">
        <v>0</v>
      </c>
      <c r="T56" s="34">
        <v>0</v>
      </c>
      <c r="U56" s="34">
        <v>0</v>
      </c>
      <c r="V56" s="31">
        <v>0</v>
      </c>
      <c r="W56" s="30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</row>
    <row r="57" spans="1:31" ht="16.8" x14ac:dyDescent="0.3">
      <c r="A57" s="130"/>
      <c r="B57" s="33" t="s">
        <v>52</v>
      </c>
      <c r="C57" s="24" t="s">
        <v>40</v>
      </c>
      <c r="D57" s="41"/>
      <c r="E57" s="24">
        <v>10</v>
      </c>
      <c r="F57" s="24">
        <v>10</v>
      </c>
      <c r="G57" s="24">
        <v>10</v>
      </c>
      <c r="H57" s="24">
        <v>10</v>
      </c>
      <c r="I57" s="24">
        <v>10</v>
      </c>
      <c r="J57" s="24">
        <v>10</v>
      </c>
      <c r="K57" s="24">
        <v>10</v>
      </c>
      <c r="L57" s="24">
        <v>10</v>
      </c>
      <c r="M57" s="24">
        <v>4</v>
      </c>
      <c r="N57" s="24">
        <v>3</v>
      </c>
      <c r="O57" s="24">
        <v>3</v>
      </c>
      <c r="P57" s="25">
        <v>0</v>
      </c>
      <c r="Q57" s="34">
        <v>0</v>
      </c>
      <c r="R57" s="34">
        <v>0</v>
      </c>
      <c r="S57" s="30">
        <v>0</v>
      </c>
      <c r="T57" s="30">
        <v>0</v>
      </c>
      <c r="U57" s="30">
        <v>0</v>
      </c>
      <c r="V57" s="31">
        <v>0</v>
      </c>
      <c r="W57" s="30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</row>
    <row r="58" spans="1:31" ht="16.8" x14ac:dyDescent="0.3">
      <c r="A58" s="130"/>
      <c r="B58" s="33" t="s">
        <v>53</v>
      </c>
      <c r="C58" s="24" t="s">
        <v>44</v>
      </c>
      <c r="D58" s="41"/>
      <c r="E58" s="24">
        <v>12</v>
      </c>
      <c r="F58" s="24">
        <v>12</v>
      </c>
      <c r="G58" s="24">
        <v>12</v>
      </c>
      <c r="H58" s="24">
        <v>12</v>
      </c>
      <c r="I58" s="24">
        <v>12</v>
      </c>
      <c r="J58" s="24">
        <v>12</v>
      </c>
      <c r="K58" s="24">
        <v>12</v>
      </c>
      <c r="L58" s="24">
        <v>12</v>
      </c>
      <c r="M58" s="24">
        <v>12</v>
      </c>
      <c r="N58" s="24">
        <v>12</v>
      </c>
      <c r="O58" s="24">
        <v>12</v>
      </c>
      <c r="P58" s="24">
        <v>6</v>
      </c>
      <c r="Q58" s="34">
        <v>6</v>
      </c>
      <c r="R58" s="25">
        <v>0</v>
      </c>
      <c r="S58" s="30">
        <v>0</v>
      </c>
      <c r="T58" s="34">
        <v>0</v>
      </c>
      <c r="U58" s="34">
        <v>0</v>
      </c>
      <c r="V58" s="31">
        <v>0</v>
      </c>
      <c r="W58" s="30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</row>
    <row r="59" spans="1:31" ht="16.8" x14ac:dyDescent="0.3">
      <c r="A59" s="130"/>
      <c r="B59" s="33" t="s">
        <v>54</v>
      </c>
      <c r="C59" s="24" t="s">
        <v>40</v>
      </c>
      <c r="D59" s="41"/>
      <c r="E59" s="24">
        <v>10</v>
      </c>
      <c r="F59" s="24">
        <v>10</v>
      </c>
      <c r="G59" s="24">
        <v>10</v>
      </c>
      <c r="H59" s="24">
        <v>10</v>
      </c>
      <c r="I59" s="24">
        <v>10</v>
      </c>
      <c r="J59" s="24">
        <v>10</v>
      </c>
      <c r="K59" s="24">
        <v>10</v>
      </c>
      <c r="L59" s="24">
        <v>10</v>
      </c>
      <c r="M59" s="24">
        <v>10</v>
      </c>
      <c r="N59" s="24">
        <v>10</v>
      </c>
      <c r="O59" s="24">
        <v>10</v>
      </c>
      <c r="P59" s="24">
        <v>5</v>
      </c>
      <c r="Q59" s="24">
        <v>5</v>
      </c>
      <c r="R59" s="25">
        <v>0</v>
      </c>
      <c r="S59" s="34">
        <v>0</v>
      </c>
      <c r="T59" s="30">
        <v>0</v>
      </c>
      <c r="U59" s="30">
        <v>0</v>
      </c>
      <c r="V59" s="30">
        <v>0</v>
      </c>
      <c r="W59" s="30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</row>
    <row r="60" spans="1:31" ht="16.8" x14ac:dyDescent="0.3">
      <c r="A60" s="130"/>
      <c r="B60" s="33" t="s">
        <v>55</v>
      </c>
      <c r="C60" s="24" t="s">
        <v>42</v>
      </c>
      <c r="D60" s="41"/>
      <c r="E60" s="24">
        <v>14</v>
      </c>
      <c r="F60" s="24">
        <v>14</v>
      </c>
      <c r="G60" s="24">
        <v>14</v>
      </c>
      <c r="H60" s="24">
        <v>14</v>
      </c>
      <c r="I60" s="24">
        <v>14</v>
      </c>
      <c r="J60" s="24">
        <v>14</v>
      </c>
      <c r="K60" s="24">
        <v>14</v>
      </c>
      <c r="L60" s="24">
        <v>14</v>
      </c>
      <c r="M60" s="24">
        <v>14</v>
      </c>
      <c r="N60" s="24">
        <v>14</v>
      </c>
      <c r="O60" s="24">
        <v>14</v>
      </c>
      <c r="P60" s="24">
        <v>5</v>
      </c>
      <c r="Q60" s="24">
        <v>5</v>
      </c>
      <c r="R60" s="24">
        <v>4</v>
      </c>
      <c r="S60" s="25">
        <v>0</v>
      </c>
      <c r="T60" s="34">
        <v>0</v>
      </c>
      <c r="U60" s="30">
        <v>0</v>
      </c>
      <c r="V60" s="31">
        <v>0</v>
      </c>
      <c r="W60" s="30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</row>
    <row r="61" spans="1:31" ht="16.8" x14ac:dyDescent="0.3">
      <c r="A61" s="130"/>
      <c r="B61" s="33" t="s">
        <v>56</v>
      </c>
      <c r="C61" s="24" t="s">
        <v>45</v>
      </c>
      <c r="D61" s="42"/>
      <c r="E61" s="24">
        <v>16</v>
      </c>
      <c r="F61" s="24">
        <v>16</v>
      </c>
      <c r="G61" s="24">
        <v>16</v>
      </c>
      <c r="H61" s="24">
        <v>16</v>
      </c>
      <c r="I61" s="24">
        <v>16</v>
      </c>
      <c r="J61" s="24">
        <v>16</v>
      </c>
      <c r="K61" s="24">
        <v>16</v>
      </c>
      <c r="L61" s="24">
        <v>16</v>
      </c>
      <c r="M61" s="24">
        <v>16</v>
      </c>
      <c r="N61" s="24">
        <v>16</v>
      </c>
      <c r="O61" s="24">
        <v>16</v>
      </c>
      <c r="P61" s="24">
        <v>16</v>
      </c>
      <c r="Q61" s="24">
        <v>16</v>
      </c>
      <c r="R61" s="24">
        <v>16</v>
      </c>
      <c r="S61" s="30">
        <v>8</v>
      </c>
      <c r="T61" s="34">
        <v>8</v>
      </c>
      <c r="U61" s="25">
        <v>0</v>
      </c>
      <c r="V61" s="31">
        <v>0</v>
      </c>
      <c r="W61" s="30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</row>
    <row r="62" spans="1:31" ht="16.8" x14ac:dyDescent="0.3">
      <c r="A62" s="130"/>
      <c r="B62" s="33" t="s">
        <v>57</v>
      </c>
      <c r="C62" s="24" t="s">
        <v>40</v>
      </c>
      <c r="D62" s="43"/>
      <c r="E62" s="24">
        <v>10</v>
      </c>
      <c r="F62" s="24">
        <v>10</v>
      </c>
      <c r="G62" s="24">
        <v>10</v>
      </c>
      <c r="H62" s="24">
        <v>10</v>
      </c>
      <c r="I62" s="24">
        <v>10</v>
      </c>
      <c r="J62" s="24">
        <v>10</v>
      </c>
      <c r="K62" s="24">
        <v>10</v>
      </c>
      <c r="L62" s="24">
        <v>10</v>
      </c>
      <c r="M62" s="24">
        <v>10</v>
      </c>
      <c r="N62" s="24">
        <v>10</v>
      </c>
      <c r="O62" s="24">
        <v>10</v>
      </c>
      <c r="P62" s="24">
        <v>10</v>
      </c>
      <c r="Q62" s="24">
        <v>10</v>
      </c>
      <c r="R62" s="24">
        <v>5</v>
      </c>
      <c r="S62" s="24">
        <v>5</v>
      </c>
      <c r="T62" s="25">
        <v>0</v>
      </c>
      <c r="U62" s="34">
        <v>0</v>
      </c>
      <c r="V62" s="56">
        <v>0</v>
      </c>
      <c r="W62" s="30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</row>
    <row r="63" spans="1:31" ht="16.8" x14ac:dyDescent="0.3">
      <c r="A63" s="130"/>
      <c r="B63" s="33" t="s">
        <v>58</v>
      </c>
      <c r="C63" s="24" t="s">
        <v>68</v>
      </c>
      <c r="D63" s="43"/>
      <c r="E63" s="24">
        <v>26</v>
      </c>
      <c r="F63" s="24">
        <v>26</v>
      </c>
      <c r="G63" s="24">
        <v>26</v>
      </c>
      <c r="H63" s="24">
        <v>26</v>
      </c>
      <c r="I63" s="24">
        <v>26</v>
      </c>
      <c r="J63" s="24">
        <v>26</v>
      </c>
      <c r="K63" s="24">
        <v>26</v>
      </c>
      <c r="L63" s="24">
        <v>26</v>
      </c>
      <c r="M63" s="24">
        <v>26</v>
      </c>
      <c r="N63" s="24">
        <v>26</v>
      </c>
      <c r="O63" s="24">
        <v>26</v>
      </c>
      <c r="P63" s="24">
        <v>26</v>
      </c>
      <c r="Q63" s="24">
        <v>26</v>
      </c>
      <c r="R63" s="24">
        <v>6</v>
      </c>
      <c r="S63" s="24">
        <v>5</v>
      </c>
      <c r="T63" s="24">
        <v>5</v>
      </c>
      <c r="U63" s="24">
        <v>5</v>
      </c>
      <c r="V63" s="24">
        <v>5</v>
      </c>
      <c r="W63" s="25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</row>
    <row r="64" spans="1:31" ht="16.8" x14ac:dyDescent="0.3">
      <c r="A64" s="130"/>
      <c r="B64" s="33" t="s">
        <v>59</v>
      </c>
      <c r="C64" s="24" t="s">
        <v>69</v>
      </c>
      <c r="D64" s="43"/>
      <c r="E64" s="24">
        <v>30</v>
      </c>
      <c r="F64" s="24">
        <v>30</v>
      </c>
      <c r="G64" s="24">
        <v>30</v>
      </c>
      <c r="H64" s="24">
        <v>30</v>
      </c>
      <c r="I64" s="24">
        <v>30</v>
      </c>
      <c r="J64" s="24">
        <v>30</v>
      </c>
      <c r="K64" s="24">
        <v>30</v>
      </c>
      <c r="L64" s="24">
        <v>30</v>
      </c>
      <c r="M64" s="24">
        <v>30</v>
      </c>
      <c r="N64" s="24">
        <v>30</v>
      </c>
      <c r="O64" s="24">
        <v>30</v>
      </c>
      <c r="P64" s="24">
        <v>30</v>
      </c>
      <c r="Q64" s="24">
        <v>30</v>
      </c>
      <c r="R64" s="24">
        <v>30</v>
      </c>
      <c r="S64" s="24">
        <v>8</v>
      </c>
      <c r="T64" s="24">
        <v>8</v>
      </c>
      <c r="U64" s="24">
        <v>8</v>
      </c>
      <c r="V64" s="24">
        <v>6</v>
      </c>
      <c r="W64" s="25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</row>
    <row r="65" spans="1:31" ht="16.8" x14ac:dyDescent="0.3">
      <c r="A65" s="130"/>
      <c r="B65" s="33" t="s">
        <v>65</v>
      </c>
      <c r="C65" s="38" t="s">
        <v>25</v>
      </c>
      <c r="D65" s="43"/>
      <c r="E65" s="24">
        <v>10</v>
      </c>
      <c r="F65" s="24">
        <v>10</v>
      </c>
      <c r="G65" s="24">
        <v>10</v>
      </c>
      <c r="H65" s="24">
        <v>10</v>
      </c>
      <c r="I65" s="24">
        <v>10</v>
      </c>
      <c r="J65" s="24">
        <v>10</v>
      </c>
      <c r="K65" s="24">
        <v>10</v>
      </c>
      <c r="L65" s="24">
        <v>10</v>
      </c>
      <c r="M65" s="24">
        <v>10</v>
      </c>
      <c r="N65" s="24">
        <v>10</v>
      </c>
      <c r="O65" s="24">
        <v>10</v>
      </c>
      <c r="P65" s="24">
        <v>10</v>
      </c>
      <c r="Q65" s="24">
        <v>10</v>
      </c>
      <c r="R65" s="24">
        <v>10</v>
      </c>
      <c r="S65" s="24">
        <v>10</v>
      </c>
      <c r="T65" s="24">
        <v>10</v>
      </c>
      <c r="U65" s="24">
        <v>10</v>
      </c>
      <c r="V65" s="24">
        <v>10</v>
      </c>
      <c r="W65" s="24">
        <v>10</v>
      </c>
      <c r="X65" s="25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</row>
    <row r="66" spans="1:31" ht="16.8" x14ac:dyDescent="0.3">
      <c r="A66" s="130" t="s">
        <v>35</v>
      </c>
      <c r="B66" s="33" t="s">
        <v>48</v>
      </c>
      <c r="C66" s="24" t="s">
        <v>60</v>
      </c>
      <c r="D66" s="42"/>
      <c r="E66" s="58">
        <v>1</v>
      </c>
      <c r="F66" s="34">
        <v>1</v>
      </c>
      <c r="G66" s="34">
        <v>1</v>
      </c>
      <c r="H66" s="34">
        <v>1</v>
      </c>
      <c r="I66" s="34">
        <v>1</v>
      </c>
      <c r="J66" s="34">
        <v>1</v>
      </c>
      <c r="K66" s="34">
        <v>1</v>
      </c>
      <c r="L66" s="34">
        <v>1</v>
      </c>
      <c r="M66" s="34">
        <v>1</v>
      </c>
      <c r="N66" s="34">
        <v>1</v>
      </c>
      <c r="O66" s="34">
        <v>1</v>
      </c>
      <c r="P66" s="34">
        <v>1</v>
      </c>
      <c r="Q66" s="34">
        <v>1</v>
      </c>
      <c r="R66" s="34">
        <v>1</v>
      </c>
      <c r="S66" s="34">
        <v>1</v>
      </c>
      <c r="T66" s="31">
        <v>1</v>
      </c>
      <c r="U66" s="30">
        <v>1</v>
      </c>
      <c r="V66" s="26">
        <v>1</v>
      </c>
      <c r="W66" s="26">
        <v>1</v>
      </c>
      <c r="X66" s="26">
        <v>1</v>
      </c>
      <c r="Y66" s="25">
        <v>0</v>
      </c>
      <c r="Z66" s="26">
        <v>0</v>
      </c>
      <c r="AA66" s="30">
        <v>0</v>
      </c>
      <c r="AB66" s="26">
        <v>0</v>
      </c>
      <c r="AC66" s="26">
        <v>0</v>
      </c>
      <c r="AD66" s="26">
        <v>0</v>
      </c>
      <c r="AE66" s="26">
        <v>0</v>
      </c>
    </row>
    <row r="67" spans="1:31" ht="16.8" x14ac:dyDescent="0.3">
      <c r="A67" s="130"/>
      <c r="B67" s="33" t="s">
        <v>30</v>
      </c>
      <c r="C67" s="24" t="s">
        <v>40</v>
      </c>
      <c r="D67" s="42"/>
      <c r="E67" s="34">
        <v>1</v>
      </c>
      <c r="F67" s="34">
        <v>1</v>
      </c>
      <c r="G67" s="34">
        <v>1</v>
      </c>
      <c r="H67" s="34">
        <v>1</v>
      </c>
      <c r="I67" s="34">
        <v>1</v>
      </c>
      <c r="J67" s="34">
        <v>1</v>
      </c>
      <c r="K67" s="34">
        <v>1</v>
      </c>
      <c r="L67" s="34">
        <v>1</v>
      </c>
      <c r="M67" s="34">
        <v>1</v>
      </c>
      <c r="N67" s="34">
        <v>1</v>
      </c>
      <c r="O67" s="34">
        <v>1</v>
      </c>
      <c r="P67" s="34">
        <v>1</v>
      </c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31">
        <v>1</v>
      </c>
      <c r="W67" s="30">
        <v>1</v>
      </c>
      <c r="X67" s="26">
        <v>1</v>
      </c>
      <c r="Y67" s="25">
        <v>0</v>
      </c>
      <c r="Z67" s="26">
        <v>0</v>
      </c>
      <c r="AA67" s="30">
        <v>0</v>
      </c>
      <c r="AB67" s="26">
        <v>0</v>
      </c>
      <c r="AC67" s="26">
        <v>0</v>
      </c>
      <c r="AD67" s="26">
        <v>0</v>
      </c>
      <c r="AE67" s="26">
        <v>0</v>
      </c>
    </row>
    <row r="68" spans="1:31" ht="16.8" x14ac:dyDescent="0.3">
      <c r="A68" s="130"/>
      <c r="B68" s="33" t="s">
        <v>31</v>
      </c>
      <c r="C68" s="24" t="s">
        <v>61</v>
      </c>
      <c r="D68" s="42"/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1">
        <v>1</v>
      </c>
      <c r="W68" s="30">
        <v>1</v>
      </c>
      <c r="X68" s="26">
        <v>1</v>
      </c>
      <c r="Y68" s="25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</row>
    <row r="69" spans="1:31" ht="16.8" x14ac:dyDescent="0.3">
      <c r="A69" s="130"/>
      <c r="B69" s="33" t="s">
        <v>49</v>
      </c>
      <c r="C69" s="24" t="s">
        <v>66</v>
      </c>
      <c r="D69" s="42"/>
      <c r="E69" s="34">
        <v>1</v>
      </c>
      <c r="F69" s="34">
        <v>1</v>
      </c>
      <c r="G69" s="34">
        <v>1</v>
      </c>
      <c r="H69" s="34">
        <v>1</v>
      </c>
      <c r="I69" s="34">
        <v>1</v>
      </c>
      <c r="J69" s="34">
        <v>1</v>
      </c>
      <c r="K69" s="34">
        <v>1</v>
      </c>
      <c r="L69" s="34">
        <v>1</v>
      </c>
      <c r="M69" s="34">
        <v>1</v>
      </c>
      <c r="N69" s="34">
        <v>1</v>
      </c>
      <c r="O69" s="34">
        <v>1</v>
      </c>
      <c r="P69" s="34">
        <v>1</v>
      </c>
      <c r="Q69" s="34">
        <v>1</v>
      </c>
      <c r="R69" s="34">
        <v>1</v>
      </c>
      <c r="S69" s="34">
        <v>1</v>
      </c>
      <c r="T69" s="34">
        <v>1</v>
      </c>
      <c r="U69" s="34">
        <v>1</v>
      </c>
      <c r="V69" s="31">
        <v>1</v>
      </c>
      <c r="W69" s="30">
        <v>1</v>
      </c>
      <c r="X69" s="26">
        <v>1</v>
      </c>
      <c r="Y69" s="25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</row>
    <row r="70" spans="1:31" ht="16.8" x14ac:dyDescent="0.3">
      <c r="A70" s="130"/>
      <c r="B70" s="33" t="s">
        <v>50</v>
      </c>
      <c r="C70" s="24" t="s">
        <v>40</v>
      </c>
      <c r="D70" s="42"/>
      <c r="E70" s="34">
        <v>1</v>
      </c>
      <c r="F70" s="34">
        <v>1</v>
      </c>
      <c r="G70" s="34">
        <v>1</v>
      </c>
      <c r="H70" s="34">
        <v>1</v>
      </c>
      <c r="I70" s="34">
        <v>1</v>
      </c>
      <c r="J70" s="34">
        <v>1</v>
      </c>
      <c r="K70" s="34">
        <v>1</v>
      </c>
      <c r="L70" s="34">
        <v>1</v>
      </c>
      <c r="M70" s="34">
        <v>1</v>
      </c>
      <c r="N70" s="34">
        <v>1</v>
      </c>
      <c r="O70" s="34">
        <v>1</v>
      </c>
      <c r="P70" s="34">
        <v>1</v>
      </c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34">
        <v>1</v>
      </c>
      <c r="W70" s="34">
        <v>1</v>
      </c>
      <c r="X70" s="34">
        <v>1</v>
      </c>
      <c r="Y70" s="25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</row>
    <row r="71" spans="1:31" ht="16.8" x14ac:dyDescent="0.3">
      <c r="A71" s="130"/>
      <c r="B71" s="33" t="s">
        <v>51</v>
      </c>
      <c r="C71" s="24" t="s">
        <v>62</v>
      </c>
      <c r="D71" s="42"/>
      <c r="E71" s="34">
        <v>1</v>
      </c>
      <c r="F71" s="34">
        <v>1</v>
      </c>
      <c r="G71" s="34">
        <v>1</v>
      </c>
      <c r="H71" s="34">
        <v>1</v>
      </c>
      <c r="I71" s="34">
        <v>1</v>
      </c>
      <c r="J71" s="34">
        <v>1</v>
      </c>
      <c r="K71" s="34">
        <v>1</v>
      </c>
      <c r="L71" s="34">
        <v>1</v>
      </c>
      <c r="M71" s="34">
        <v>1</v>
      </c>
      <c r="N71" s="34">
        <v>1</v>
      </c>
      <c r="O71" s="34">
        <v>1</v>
      </c>
      <c r="P71" s="34">
        <v>1</v>
      </c>
      <c r="Q71" s="34">
        <v>1</v>
      </c>
      <c r="R71" s="34">
        <v>1</v>
      </c>
      <c r="S71" s="34">
        <v>1</v>
      </c>
      <c r="T71" s="34">
        <v>1</v>
      </c>
      <c r="U71" s="34">
        <v>1</v>
      </c>
      <c r="V71" s="34">
        <v>1</v>
      </c>
      <c r="W71" s="31">
        <v>1</v>
      </c>
      <c r="X71" s="30">
        <v>1</v>
      </c>
      <c r="Y71" s="25">
        <v>0</v>
      </c>
      <c r="Z71" s="26">
        <v>0</v>
      </c>
      <c r="AA71" s="26">
        <v>0</v>
      </c>
      <c r="AB71" s="30">
        <v>0</v>
      </c>
      <c r="AC71" s="26">
        <v>0</v>
      </c>
      <c r="AD71" s="26">
        <v>0</v>
      </c>
      <c r="AE71" s="26">
        <v>0</v>
      </c>
    </row>
    <row r="72" spans="1:31" ht="16.8" x14ac:dyDescent="0.3">
      <c r="A72" s="130"/>
      <c r="B72" s="33" t="s">
        <v>52</v>
      </c>
      <c r="C72" s="24" t="s">
        <v>63</v>
      </c>
      <c r="D72" s="42"/>
      <c r="E72" s="34">
        <v>1</v>
      </c>
      <c r="F72" s="34">
        <v>1</v>
      </c>
      <c r="G72" s="34">
        <v>1</v>
      </c>
      <c r="H72" s="34">
        <v>1</v>
      </c>
      <c r="I72" s="34">
        <v>1</v>
      </c>
      <c r="J72" s="34">
        <v>1</v>
      </c>
      <c r="K72" s="34">
        <v>1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4">
        <v>1</v>
      </c>
      <c r="R72" s="34">
        <v>1</v>
      </c>
      <c r="S72" s="34">
        <v>1</v>
      </c>
      <c r="T72" s="34">
        <v>1</v>
      </c>
      <c r="U72" s="34">
        <v>1</v>
      </c>
      <c r="V72" s="34">
        <v>1</v>
      </c>
      <c r="W72" s="34">
        <v>1</v>
      </c>
      <c r="X72" s="34">
        <v>1</v>
      </c>
      <c r="Y72" s="25">
        <v>0</v>
      </c>
      <c r="Z72" s="34">
        <v>0</v>
      </c>
      <c r="AA72" s="34">
        <v>0</v>
      </c>
      <c r="AB72" s="26">
        <v>0</v>
      </c>
      <c r="AC72" s="26">
        <v>0</v>
      </c>
      <c r="AD72" s="26">
        <v>0</v>
      </c>
      <c r="AE72" s="26">
        <v>0</v>
      </c>
    </row>
    <row r="73" spans="1:31" ht="16.8" x14ac:dyDescent="0.3">
      <c r="A73" s="130"/>
      <c r="B73" s="33" t="s">
        <v>53</v>
      </c>
      <c r="C73" s="24" t="s">
        <v>46</v>
      </c>
      <c r="D73" s="42"/>
      <c r="E73" s="34">
        <v>1</v>
      </c>
      <c r="F73" s="34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34">
        <v>1</v>
      </c>
      <c r="Y73" s="34">
        <v>1</v>
      </c>
      <c r="Z73" s="25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</row>
    <row r="74" spans="1:31" ht="16.8" x14ac:dyDescent="0.3">
      <c r="A74" s="130"/>
      <c r="B74" s="33" t="s">
        <v>54</v>
      </c>
      <c r="C74" s="24" t="s">
        <v>41</v>
      </c>
      <c r="D74" s="42"/>
      <c r="E74" s="34">
        <v>1</v>
      </c>
      <c r="F74" s="34">
        <v>1</v>
      </c>
      <c r="G74" s="34">
        <v>1</v>
      </c>
      <c r="H74" s="34">
        <v>1</v>
      </c>
      <c r="I74" s="34">
        <v>1</v>
      </c>
      <c r="J74" s="34">
        <v>1</v>
      </c>
      <c r="K74" s="34">
        <v>1</v>
      </c>
      <c r="L74" s="34">
        <v>1</v>
      </c>
      <c r="M74" s="34">
        <v>1</v>
      </c>
      <c r="N74" s="34">
        <v>1</v>
      </c>
      <c r="O74" s="34">
        <v>1</v>
      </c>
      <c r="P74" s="34">
        <v>1</v>
      </c>
      <c r="Q74" s="34">
        <v>1</v>
      </c>
      <c r="R74" s="34">
        <v>1</v>
      </c>
      <c r="S74" s="34">
        <v>1</v>
      </c>
      <c r="T74" s="34">
        <v>1</v>
      </c>
      <c r="U74" s="34">
        <v>1</v>
      </c>
      <c r="V74" s="31">
        <v>1</v>
      </c>
      <c r="W74" s="30">
        <v>1</v>
      </c>
      <c r="X74" s="26">
        <v>1</v>
      </c>
      <c r="Y74" s="26">
        <v>1</v>
      </c>
      <c r="Z74" s="25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</row>
    <row r="75" spans="1:31" ht="16.8" x14ac:dyDescent="0.3">
      <c r="A75" s="130"/>
      <c r="B75" s="33" t="s">
        <v>55</v>
      </c>
      <c r="C75" s="24" t="s">
        <v>40</v>
      </c>
      <c r="D75" s="42"/>
      <c r="E75" s="34">
        <v>1</v>
      </c>
      <c r="F75" s="34">
        <v>1</v>
      </c>
      <c r="G75" s="34">
        <v>1</v>
      </c>
      <c r="H75" s="34">
        <v>1</v>
      </c>
      <c r="I75" s="34">
        <v>1</v>
      </c>
      <c r="J75" s="34">
        <v>1</v>
      </c>
      <c r="K75" s="34">
        <v>1</v>
      </c>
      <c r="L75" s="34">
        <v>1</v>
      </c>
      <c r="M75" s="34">
        <v>1</v>
      </c>
      <c r="N75" s="34">
        <v>1</v>
      </c>
      <c r="O75" s="34">
        <v>1</v>
      </c>
      <c r="P75" s="34">
        <v>1</v>
      </c>
      <c r="Q75" s="34">
        <v>1</v>
      </c>
      <c r="R75" s="34">
        <v>1</v>
      </c>
      <c r="S75" s="34">
        <v>1</v>
      </c>
      <c r="T75" s="34">
        <v>1</v>
      </c>
      <c r="U75" s="34">
        <v>1</v>
      </c>
      <c r="V75" s="31">
        <v>1</v>
      </c>
      <c r="W75" s="30">
        <v>1</v>
      </c>
      <c r="X75" s="26">
        <v>1</v>
      </c>
      <c r="Y75" s="26">
        <v>1</v>
      </c>
      <c r="Z75" s="25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</row>
    <row r="76" spans="1:31" ht="16.8" x14ac:dyDescent="0.3">
      <c r="A76" s="130"/>
      <c r="B76" s="33" t="s">
        <v>56</v>
      </c>
      <c r="C76" s="24" t="s">
        <v>42</v>
      </c>
      <c r="D76" s="42"/>
      <c r="E76" s="34">
        <v>1</v>
      </c>
      <c r="F76" s="34">
        <v>1</v>
      </c>
      <c r="G76" s="34">
        <v>1</v>
      </c>
      <c r="H76" s="34">
        <v>1</v>
      </c>
      <c r="I76" s="34">
        <v>1</v>
      </c>
      <c r="J76" s="34">
        <v>1</v>
      </c>
      <c r="K76" s="34">
        <v>1</v>
      </c>
      <c r="L76" s="34">
        <v>1</v>
      </c>
      <c r="M76" s="34">
        <v>1</v>
      </c>
      <c r="N76" s="34">
        <v>1</v>
      </c>
      <c r="O76" s="34">
        <v>1</v>
      </c>
      <c r="P76" s="34">
        <v>1</v>
      </c>
      <c r="Q76" s="34">
        <v>1</v>
      </c>
      <c r="R76" s="34">
        <v>1</v>
      </c>
      <c r="S76" s="34">
        <v>1</v>
      </c>
      <c r="T76" s="34">
        <v>1</v>
      </c>
      <c r="U76" s="34">
        <v>1</v>
      </c>
      <c r="V76" s="31">
        <v>1</v>
      </c>
      <c r="W76" s="30">
        <v>1</v>
      </c>
      <c r="X76" s="26">
        <v>1</v>
      </c>
      <c r="Y76" s="26">
        <v>1</v>
      </c>
      <c r="Z76" s="25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</row>
    <row r="77" spans="1:31" ht="16.8" x14ac:dyDescent="0.3">
      <c r="A77" s="130"/>
      <c r="B77" s="33" t="s">
        <v>57</v>
      </c>
      <c r="C77" s="24" t="s">
        <v>70</v>
      </c>
      <c r="D77" s="42"/>
      <c r="E77" s="34">
        <v>1</v>
      </c>
      <c r="F77" s="34">
        <v>1</v>
      </c>
      <c r="G77" s="34">
        <v>1</v>
      </c>
      <c r="H77" s="34">
        <v>1</v>
      </c>
      <c r="I77" s="34">
        <v>1</v>
      </c>
      <c r="J77" s="34">
        <v>1</v>
      </c>
      <c r="K77" s="34">
        <v>1</v>
      </c>
      <c r="L77" s="34">
        <v>1</v>
      </c>
      <c r="M77" s="34">
        <v>1</v>
      </c>
      <c r="N77" s="34">
        <v>1</v>
      </c>
      <c r="O77" s="34">
        <v>1</v>
      </c>
      <c r="P77" s="34">
        <v>1</v>
      </c>
      <c r="Q77" s="34">
        <v>1</v>
      </c>
      <c r="R77" s="34">
        <v>1</v>
      </c>
      <c r="S77" s="34">
        <v>1</v>
      </c>
      <c r="T77" s="34">
        <v>1</v>
      </c>
      <c r="U77" s="34">
        <v>1</v>
      </c>
      <c r="V77" s="31">
        <v>1</v>
      </c>
      <c r="W77" s="30">
        <v>1</v>
      </c>
      <c r="X77" s="26">
        <v>1</v>
      </c>
      <c r="Y77" s="26">
        <v>1</v>
      </c>
      <c r="Z77" s="25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</row>
    <row r="78" spans="1:31" ht="16.8" x14ac:dyDescent="0.3">
      <c r="A78" s="130"/>
      <c r="B78" s="33" t="s">
        <v>58</v>
      </c>
      <c r="C78" s="24" t="s">
        <v>71</v>
      </c>
      <c r="D78" s="42"/>
      <c r="E78" s="34">
        <v>1</v>
      </c>
      <c r="F78" s="34">
        <v>1</v>
      </c>
      <c r="G78" s="34">
        <v>1</v>
      </c>
      <c r="H78" s="34">
        <v>1</v>
      </c>
      <c r="I78" s="34">
        <v>1</v>
      </c>
      <c r="J78" s="34">
        <v>1</v>
      </c>
      <c r="K78" s="34">
        <v>1</v>
      </c>
      <c r="L78" s="34">
        <v>1</v>
      </c>
      <c r="M78" s="34">
        <v>1</v>
      </c>
      <c r="N78" s="34">
        <v>1</v>
      </c>
      <c r="O78" s="34">
        <v>1</v>
      </c>
      <c r="P78" s="34">
        <v>1</v>
      </c>
      <c r="Q78" s="34">
        <v>1</v>
      </c>
      <c r="R78" s="34">
        <v>1</v>
      </c>
      <c r="S78" s="34">
        <v>1</v>
      </c>
      <c r="T78" s="34">
        <v>1</v>
      </c>
      <c r="U78" s="34">
        <v>1</v>
      </c>
      <c r="V78" s="31">
        <v>1</v>
      </c>
      <c r="W78" s="30">
        <v>1</v>
      </c>
      <c r="X78" s="26">
        <v>1</v>
      </c>
      <c r="Y78" s="26">
        <v>1</v>
      </c>
      <c r="Z78" s="25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</row>
    <row r="79" spans="1:31" ht="16.8" x14ac:dyDescent="0.3">
      <c r="A79" s="130"/>
      <c r="B79" s="33" t="s">
        <v>59</v>
      </c>
      <c r="C79" s="59" t="s">
        <v>68</v>
      </c>
      <c r="D79" s="43"/>
      <c r="E79" s="34">
        <v>1</v>
      </c>
      <c r="F79" s="34">
        <v>1</v>
      </c>
      <c r="G79" s="34">
        <v>1</v>
      </c>
      <c r="H79" s="34">
        <v>1</v>
      </c>
      <c r="I79" s="34">
        <v>1</v>
      </c>
      <c r="J79" s="34">
        <v>1</v>
      </c>
      <c r="K79" s="34">
        <v>1</v>
      </c>
      <c r="L79" s="34">
        <v>1</v>
      </c>
      <c r="M79" s="34">
        <v>1</v>
      </c>
      <c r="N79" s="34">
        <v>1</v>
      </c>
      <c r="O79" s="34">
        <v>1</v>
      </c>
      <c r="P79" s="34">
        <v>1</v>
      </c>
      <c r="Q79" s="34">
        <v>1</v>
      </c>
      <c r="R79" s="34">
        <v>1</v>
      </c>
      <c r="S79" s="34">
        <v>1</v>
      </c>
      <c r="T79" s="34">
        <v>1</v>
      </c>
      <c r="U79" s="34">
        <v>1</v>
      </c>
      <c r="V79" s="31">
        <v>1</v>
      </c>
      <c r="W79" s="30">
        <v>1</v>
      </c>
      <c r="X79" s="26">
        <v>1</v>
      </c>
      <c r="Y79" s="26">
        <v>1</v>
      </c>
      <c r="Z79" s="25">
        <v>0</v>
      </c>
      <c r="AA79" s="26">
        <v>0</v>
      </c>
      <c r="AC79" s="26">
        <v>0</v>
      </c>
      <c r="AD79" s="26">
        <v>0</v>
      </c>
      <c r="AE79" s="26">
        <v>0</v>
      </c>
    </row>
    <row r="80" spans="1:31" ht="16.8" x14ac:dyDescent="0.3">
      <c r="A80" s="130" t="s">
        <v>36</v>
      </c>
      <c r="B80" s="33" t="s">
        <v>48</v>
      </c>
      <c r="C80" s="24" t="s">
        <v>41</v>
      </c>
      <c r="D80" s="42"/>
      <c r="E80" s="34">
        <v>1</v>
      </c>
      <c r="F80" s="34">
        <v>1</v>
      </c>
      <c r="G80" s="34">
        <v>1</v>
      </c>
      <c r="H80" s="34">
        <v>1</v>
      </c>
      <c r="I80" s="34">
        <v>1</v>
      </c>
      <c r="J80" s="34">
        <v>1</v>
      </c>
      <c r="K80" s="34">
        <v>1</v>
      </c>
      <c r="L80" s="34">
        <v>1</v>
      </c>
      <c r="M80" s="34">
        <v>1</v>
      </c>
      <c r="N80" s="34">
        <v>1</v>
      </c>
      <c r="O80" s="34">
        <v>1</v>
      </c>
      <c r="P80" s="34">
        <v>1</v>
      </c>
      <c r="Q80" s="34">
        <v>1</v>
      </c>
      <c r="R80" s="34">
        <v>1</v>
      </c>
      <c r="S80" s="34">
        <v>1</v>
      </c>
      <c r="T80" s="34">
        <v>1</v>
      </c>
      <c r="U80" s="34">
        <v>1</v>
      </c>
      <c r="V80" s="34">
        <v>1</v>
      </c>
      <c r="W80" s="34">
        <v>1</v>
      </c>
      <c r="X80" s="34">
        <v>1</v>
      </c>
      <c r="Y80" s="34">
        <v>1</v>
      </c>
      <c r="Z80" s="34">
        <v>1</v>
      </c>
      <c r="AA80" s="25">
        <v>0</v>
      </c>
      <c r="AB80" s="26">
        <v>0</v>
      </c>
      <c r="AC80" s="26">
        <v>0</v>
      </c>
      <c r="AD80" s="26">
        <v>0</v>
      </c>
      <c r="AE80" s="26">
        <v>0</v>
      </c>
    </row>
    <row r="81" spans="1:31" ht="16.8" x14ac:dyDescent="0.3">
      <c r="A81" s="130"/>
      <c r="B81" s="33" t="s">
        <v>30</v>
      </c>
      <c r="C81" s="53" t="s">
        <v>46</v>
      </c>
      <c r="D81" s="42"/>
      <c r="E81" s="34">
        <v>1</v>
      </c>
      <c r="F81" s="34">
        <v>1</v>
      </c>
      <c r="G81" s="34">
        <v>1</v>
      </c>
      <c r="H81" s="34">
        <v>1</v>
      </c>
      <c r="I81" s="34">
        <v>1</v>
      </c>
      <c r="J81" s="34">
        <v>1</v>
      </c>
      <c r="K81" s="34">
        <v>1</v>
      </c>
      <c r="L81" s="34">
        <v>1</v>
      </c>
      <c r="M81" s="34">
        <v>1</v>
      </c>
      <c r="N81" s="34">
        <v>1</v>
      </c>
      <c r="O81" s="34">
        <v>1</v>
      </c>
      <c r="P81" s="34">
        <v>1</v>
      </c>
      <c r="Q81" s="34">
        <v>1</v>
      </c>
      <c r="R81" s="34">
        <v>1</v>
      </c>
      <c r="S81" s="34">
        <v>1</v>
      </c>
      <c r="T81" s="34">
        <v>1</v>
      </c>
      <c r="U81" s="34">
        <v>1</v>
      </c>
      <c r="V81" s="34">
        <v>1</v>
      </c>
      <c r="W81" s="34">
        <v>1</v>
      </c>
      <c r="X81" s="34">
        <v>1</v>
      </c>
      <c r="Y81" s="34">
        <v>1</v>
      </c>
      <c r="Z81" s="34">
        <v>1</v>
      </c>
      <c r="AA81" s="25">
        <v>0</v>
      </c>
      <c r="AB81" s="26">
        <v>0</v>
      </c>
      <c r="AC81" s="26">
        <v>0</v>
      </c>
      <c r="AD81" s="26">
        <v>0</v>
      </c>
      <c r="AE81" s="26">
        <v>0</v>
      </c>
    </row>
    <row r="82" spans="1:31" ht="16.8" x14ac:dyDescent="0.3">
      <c r="A82" s="130"/>
      <c r="B82" s="33" t="s">
        <v>31</v>
      </c>
      <c r="C82" s="53" t="s">
        <v>42</v>
      </c>
      <c r="D82" s="42"/>
      <c r="E82" s="34">
        <v>1</v>
      </c>
      <c r="F82" s="34">
        <v>1</v>
      </c>
      <c r="G82" s="34">
        <v>1</v>
      </c>
      <c r="H82" s="34">
        <v>1</v>
      </c>
      <c r="I82" s="34">
        <v>1</v>
      </c>
      <c r="J82" s="34">
        <v>1</v>
      </c>
      <c r="K82" s="34">
        <v>1</v>
      </c>
      <c r="L82" s="34">
        <v>1</v>
      </c>
      <c r="M82" s="34">
        <v>1</v>
      </c>
      <c r="N82" s="34">
        <v>1</v>
      </c>
      <c r="O82" s="34">
        <v>1</v>
      </c>
      <c r="P82" s="34">
        <v>1</v>
      </c>
      <c r="Q82" s="34">
        <v>1</v>
      </c>
      <c r="R82" s="34">
        <v>1</v>
      </c>
      <c r="S82" s="34">
        <v>1</v>
      </c>
      <c r="T82" s="34">
        <v>1</v>
      </c>
      <c r="U82" s="34">
        <v>1</v>
      </c>
      <c r="V82" s="34">
        <v>1</v>
      </c>
      <c r="W82" s="34">
        <v>1</v>
      </c>
      <c r="X82" s="34">
        <v>1</v>
      </c>
      <c r="Y82" s="34">
        <v>1</v>
      </c>
      <c r="Z82" s="34">
        <v>1</v>
      </c>
      <c r="AA82" s="25">
        <v>0</v>
      </c>
      <c r="AB82" s="26">
        <v>0</v>
      </c>
      <c r="AC82" s="26">
        <v>0</v>
      </c>
      <c r="AD82" s="26">
        <v>0</v>
      </c>
      <c r="AE82" s="26">
        <v>0</v>
      </c>
    </row>
    <row r="83" spans="1:31" ht="16.8" x14ac:dyDescent="0.3">
      <c r="A83" s="130"/>
      <c r="B83" s="33" t="s">
        <v>49</v>
      </c>
      <c r="C83" s="53" t="s">
        <v>44</v>
      </c>
      <c r="D83" s="42"/>
      <c r="E83" s="34">
        <v>2</v>
      </c>
      <c r="F83" s="34">
        <v>2</v>
      </c>
      <c r="G83" s="34">
        <v>2</v>
      </c>
      <c r="H83" s="34">
        <v>2</v>
      </c>
      <c r="I83" s="34">
        <v>2</v>
      </c>
      <c r="J83" s="34">
        <v>2</v>
      </c>
      <c r="K83" s="34">
        <v>2</v>
      </c>
      <c r="L83" s="34">
        <v>2</v>
      </c>
      <c r="M83" s="34">
        <v>2</v>
      </c>
      <c r="N83" s="34">
        <v>2</v>
      </c>
      <c r="O83" s="34">
        <v>2</v>
      </c>
      <c r="P83" s="34">
        <v>2</v>
      </c>
      <c r="Q83" s="34">
        <v>2</v>
      </c>
      <c r="R83" s="34">
        <v>2</v>
      </c>
      <c r="S83" s="34">
        <v>2</v>
      </c>
      <c r="T83" s="34">
        <v>2</v>
      </c>
      <c r="U83" s="34">
        <v>2</v>
      </c>
      <c r="V83" s="34">
        <v>2</v>
      </c>
      <c r="W83" s="34">
        <v>2</v>
      </c>
      <c r="X83" s="34">
        <v>2</v>
      </c>
      <c r="Y83" s="34">
        <v>2</v>
      </c>
      <c r="Z83" s="34">
        <v>2</v>
      </c>
      <c r="AA83" s="25">
        <v>0</v>
      </c>
      <c r="AB83" s="26">
        <v>0</v>
      </c>
      <c r="AC83" s="26">
        <v>0</v>
      </c>
      <c r="AD83" s="26">
        <v>0</v>
      </c>
      <c r="AE83" s="26">
        <v>0</v>
      </c>
    </row>
    <row r="84" spans="1:31" ht="16.8" x14ac:dyDescent="0.3">
      <c r="A84" s="130"/>
      <c r="B84" s="33" t="s">
        <v>50</v>
      </c>
      <c r="C84" s="53" t="s">
        <v>42</v>
      </c>
      <c r="D84" s="42"/>
      <c r="E84" s="34">
        <v>1</v>
      </c>
      <c r="F84" s="34">
        <v>1</v>
      </c>
      <c r="G84" s="34">
        <v>1</v>
      </c>
      <c r="H84" s="34">
        <v>1</v>
      </c>
      <c r="I84" s="34">
        <v>1</v>
      </c>
      <c r="J84" s="34">
        <v>1</v>
      </c>
      <c r="K84" s="34">
        <v>1</v>
      </c>
      <c r="L84" s="34">
        <v>1</v>
      </c>
      <c r="M84" s="34">
        <v>1</v>
      </c>
      <c r="N84" s="34">
        <v>1</v>
      </c>
      <c r="O84" s="34">
        <v>1</v>
      </c>
      <c r="P84" s="34">
        <v>1</v>
      </c>
      <c r="Q84" s="34">
        <v>1</v>
      </c>
      <c r="R84" s="34">
        <v>1</v>
      </c>
      <c r="S84" s="34">
        <v>1</v>
      </c>
      <c r="T84" s="34">
        <v>1</v>
      </c>
      <c r="U84" s="34">
        <v>1</v>
      </c>
      <c r="V84" s="34">
        <v>1</v>
      </c>
      <c r="W84" s="34">
        <v>1</v>
      </c>
      <c r="X84" s="34">
        <v>1</v>
      </c>
      <c r="Y84" s="34">
        <v>1</v>
      </c>
      <c r="Z84" s="34">
        <v>1</v>
      </c>
      <c r="AA84" s="25">
        <v>0</v>
      </c>
      <c r="AB84" s="26">
        <v>0</v>
      </c>
      <c r="AC84" s="26">
        <v>0</v>
      </c>
      <c r="AD84" s="26">
        <v>0</v>
      </c>
      <c r="AE84" s="26">
        <v>0</v>
      </c>
    </row>
    <row r="85" spans="1:31" ht="16.8" x14ac:dyDescent="0.3">
      <c r="A85" s="130"/>
      <c r="B85" s="33" t="s">
        <v>51</v>
      </c>
      <c r="C85" s="53" t="s">
        <v>64</v>
      </c>
      <c r="D85" s="42"/>
      <c r="E85" s="34">
        <v>1</v>
      </c>
      <c r="F85" s="34">
        <v>1</v>
      </c>
      <c r="G85" s="34">
        <v>1</v>
      </c>
      <c r="H85" s="34">
        <v>1</v>
      </c>
      <c r="I85" s="34">
        <v>1</v>
      </c>
      <c r="J85" s="34">
        <v>1</v>
      </c>
      <c r="K85" s="34">
        <v>1</v>
      </c>
      <c r="L85" s="34">
        <v>1</v>
      </c>
      <c r="M85" s="34">
        <v>1</v>
      </c>
      <c r="N85" s="34">
        <v>1</v>
      </c>
      <c r="O85" s="34">
        <v>1</v>
      </c>
      <c r="P85" s="34">
        <v>1</v>
      </c>
      <c r="Q85" s="34">
        <v>1</v>
      </c>
      <c r="R85" s="34">
        <v>1</v>
      </c>
      <c r="S85" s="34">
        <v>1</v>
      </c>
      <c r="T85" s="34">
        <v>1</v>
      </c>
      <c r="U85" s="34">
        <v>1</v>
      </c>
      <c r="V85" s="34">
        <v>1</v>
      </c>
      <c r="W85" s="34">
        <v>1</v>
      </c>
      <c r="X85" s="34">
        <v>1</v>
      </c>
      <c r="Y85" s="34">
        <v>1</v>
      </c>
      <c r="Z85" s="34">
        <v>1</v>
      </c>
      <c r="AA85" s="25">
        <v>0</v>
      </c>
      <c r="AB85" s="26">
        <v>0</v>
      </c>
      <c r="AC85" s="26">
        <v>0</v>
      </c>
      <c r="AD85" s="26">
        <v>0</v>
      </c>
      <c r="AE85" s="26">
        <v>0</v>
      </c>
    </row>
    <row r="86" spans="1:31" ht="16.8" x14ac:dyDescent="0.3">
      <c r="A86" s="130"/>
      <c r="B86" s="33" t="s">
        <v>52</v>
      </c>
      <c r="C86" s="53" t="s">
        <v>40</v>
      </c>
      <c r="D86" s="42"/>
      <c r="E86" s="34">
        <v>1</v>
      </c>
      <c r="F86" s="34">
        <v>1</v>
      </c>
      <c r="G86" s="34">
        <v>1</v>
      </c>
      <c r="H86" s="34">
        <v>1</v>
      </c>
      <c r="I86" s="34">
        <v>1</v>
      </c>
      <c r="J86" s="34">
        <v>1</v>
      </c>
      <c r="K86" s="34">
        <v>1</v>
      </c>
      <c r="L86" s="34">
        <v>1</v>
      </c>
      <c r="M86" s="34">
        <v>1</v>
      </c>
      <c r="N86" s="34">
        <v>1</v>
      </c>
      <c r="O86" s="34">
        <v>1</v>
      </c>
      <c r="P86" s="34">
        <v>1</v>
      </c>
      <c r="Q86" s="34">
        <v>1</v>
      </c>
      <c r="R86" s="34">
        <v>1</v>
      </c>
      <c r="S86" s="34">
        <v>1</v>
      </c>
      <c r="T86" s="34">
        <v>1</v>
      </c>
      <c r="U86" s="34">
        <v>1</v>
      </c>
      <c r="V86" s="34">
        <v>1</v>
      </c>
      <c r="W86" s="34">
        <v>1</v>
      </c>
      <c r="X86" s="34">
        <v>1</v>
      </c>
      <c r="Y86" s="34">
        <v>1</v>
      </c>
      <c r="Z86" s="34">
        <v>1</v>
      </c>
      <c r="AA86" s="25">
        <v>0</v>
      </c>
      <c r="AB86" s="26">
        <v>0</v>
      </c>
      <c r="AC86" s="26">
        <v>0</v>
      </c>
      <c r="AD86" s="26">
        <v>0</v>
      </c>
      <c r="AE86" s="26">
        <v>0</v>
      </c>
    </row>
    <row r="87" spans="1:31" ht="16.8" x14ac:dyDescent="0.3">
      <c r="A87" s="130"/>
      <c r="B87" s="33" t="s">
        <v>53</v>
      </c>
      <c r="C87" s="53" t="s">
        <v>44</v>
      </c>
      <c r="D87" s="42"/>
      <c r="E87" s="34">
        <v>2</v>
      </c>
      <c r="F87" s="34">
        <v>2</v>
      </c>
      <c r="G87" s="34">
        <v>2</v>
      </c>
      <c r="H87" s="34">
        <v>2</v>
      </c>
      <c r="I87" s="34">
        <v>2</v>
      </c>
      <c r="J87" s="34">
        <v>2</v>
      </c>
      <c r="K87" s="34">
        <v>2</v>
      </c>
      <c r="L87" s="34">
        <v>2</v>
      </c>
      <c r="M87" s="34">
        <v>2</v>
      </c>
      <c r="N87" s="34">
        <v>2</v>
      </c>
      <c r="O87" s="34">
        <v>2</v>
      </c>
      <c r="P87" s="34">
        <v>2</v>
      </c>
      <c r="Q87" s="34">
        <v>2</v>
      </c>
      <c r="R87" s="34">
        <v>2</v>
      </c>
      <c r="S87" s="34">
        <v>2</v>
      </c>
      <c r="T87" s="34">
        <v>2</v>
      </c>
      <c r="U87" s="34">
        <v>2</v>
      </c>
      <c r="V87" s="34">
        <v>2</v>
      </c>
      <c r="W87" s="34">
        <v>2</v>
      </c>
      <c r="X87" s="34">
        <v>2</v>
      </c>
      <c r="Y87" s="34">
        <v>2</v>
      </c>
      <c r="Z87" s="34">
        <v>2</v>
      </c>
      <c r="AA87" s="34">
        <v>2</v>
      </c>
      <c r="AB87" s="25">
        <v>0</v>
      </c>
      <c r="AC87" s="26">
        <v>0</v>
      </c>
      <c r="AD87" s="26">
        <v>0</v>
      </c>
      <c r="AE87" s="26">
        <v>0</v>
      </c>
    </row>
    <row r="88" spans="1:31" ht="16.8" x14ac:dyDescent="0.3">
      <c r="A88" s="130"/>
      <c r="B88" s="33" t="s">
        <v>54</v>
      </c>
      <c r="C88" s="53" t="s">
        <v>40</v>
      </c>
      <c r="D88" s="42"/>
      <c r="E88" s="34">
        <v>2</v>
      </c>
      <c r="F88" s="34">
        <v>2</v>
      </c>
      <c r="G88" s="34">
        <v>2</v>
      </c>
      <c r="H88" s="34">
        <v>2</v>
      </c>
      <c r="I88" s="34">
        <v>2</v>
      </c>
      <c r="J88" s="34">
        <v>2</v>
      </c>
      <c r="K88" s="34">
        <v>2</v>
      </c>
      <c r="L88" s="34">
        <v>2</v>
      </c>
      <c r="M88" s="34">
        <v>2</v>
      </c>
      <c r="N88" s="34">
        <v>2</v>
      </c>
      <c r="O88" s="34">
        <v>2</v>
      </c>
      <c r="P88" s="34">
        <v>2</v>
      </c>
      <c r="Q88" s="34">
        <v>2</v>
      </c>
      <c r="R88" s="34">
        <v>2</v>
      </c>
      <c r="S88" s="34">
        <v>2</v>
      </c>
      <c r="T88" s="34">
        <v>2</v>
      </c>
      <c r="U88" s="34">
        <v>2</v>
      </c>
      <c r="V88" s="34">
        <v>2</v>
      </c>
      <c r="W88" s="34">
        <v>2</v>
      </c>
      <c r="X88" s="34">
        <v>2</v>
      </c>
      <c r="Y88" s="34">
        <v>2</v>
      </c>
      <c r="Z88" s="34">
        <v>2</v>
      </c>
      <c r="AA88" s="34">
        <v>2</v>
      </c>
      <c r="AB88" s="25">
        <v>0</v>
      </c>
      <c r="AC88" s="26">
        <v>0</v>
      </c>
      <c r="AD88" s="26">
        <v>0</v>
      </c>
      <c r="AE88" s="26">
        <v>0</v>
      </c>
    </row>
    <row r="89" spans="1:31" ht="16.8" x14ac:dyDescent="0.3">
      <c r="A89" s="130"/>
      <c r="B89" s="33" t="s">
        <v>55</v>
      </c>
      <c r="C89" s="53" t="s">
        <v>42</v>
      </c>
      <c r="D89" s="42"/>
      <c r="E89" s="34">
        <v>2</v>
      </c>
      <c r="F89" s="34">
        <v>2</v>
      </c>
      <c r="G89" s="34">
        <v>2</v>
      </c>
      <c r="H89" s="34">
        <v>2</v>
      </c>
      <c r="I89" s="34">
        <v>2</v>
      </c>
      <c r="J89" s="34">
        <v>2</v>
      </c>
      <c r="K89" s="34">
        <v>2</v>
      </c>
      <c r="L89" s="34">
        <v>2</v>
      </c>
      <c r="M89" s="34">
        <v>2</v>
      </c>
      <c r="N89" s="34">
        <v>2</v>
      </c>
      <c r="O89" s="34">
        <v>2</v>
      </c>
      <c r="P89" s="34">
        <v>2</v>
      </c>
      <c r="Q89" s="34">
        <v>2</v>
      </c>
      <c r="R89" s="34">
        <v>2</v>
      </c>
      <c r="S89" s="34">
        <v>2</v>
      </c>
      <c r="T89" s="34">
        <v>2</v>
      </c>
      <c r="U89" s="34">
        <v>2</v>
      </c>
      <c r="V89" s="34">
        <v>2</v>
      </c>
      <c r="W89" s="31">
        <v>2</v>
      </c>
      <c r="X89" s="31">
        <v>2</v>
      </c>
      <c r="Y89" s="30">
        <v>2</v>
      </c>
      <c r="Z89" s="26">
        <v>2</v>
      </c>
      <c r="AA89" s="26">
        <v>2</v>
      </c>
      <c r="AB89" s="25">
        <v>0</v>
      </c>
      <c r="AC89" s="26">
        <v>0</v>
      </c>
      <c r="AD89" s="26">
        <v>0</v>
      </c>
      <c r="AE89" s="26">
        <v>0</v>
      </c>
    </row>
    <row r="90" spans="1:31" ht="16.8" x14ac:dyDescent="0.3">
      <c r="A90" s="130"/>
      <c r="B90" s="33" t="s">
        <v>56</v>
      </c>
      <c r="C90" s="53" t="s">
        <v>45</v>
      </c>
      <c r="D90" s="42"/>
      <c r="E90" s="34">
        <v>2</v>
      </c>
      <c r="F90" s="34">
        <v>2</v>
      </c>
      <c r="G90" s="34">
        <v>2</v>
      </c>
      <c r="H90" s="34">
        <v>2</v>
      </c>
      <c r="I90" s="34">
        <v>2</v>
      </c>
      <c r="J90" s="34">
        <v>2</v>
      </c>
      <c r="K90" s="34">
        <v>2</v>
      </c>
      <c r="L90" s="34">
        <v>2</v>
      </c>
      <c r="M90" s="34">
        <v>2</v>
      </c>
      <c r="N90" s="34">
        <v>2</v>
      </c>
      <c r="O90" s="34">
        <v>2</v>
      </c>
      <c r="P90" s="34">
        <v>2</v>
      </c>
      <c r="Q90" s="34">
        <v>2</v>
      </c>
      <c r="R90" s="34">
        <v>2</v>
      </c>
      <c r="S90" s="34">
        <v>2</v>
      </c>
      <c r="T90" s="34">
        <v>2</v>
      </c>
      <c r="U90" s="34">
        <v>2</v>
      </c>
      <c r="V90" s="34">
        <v>2</v>
      </c>
      <c r="W90" s="31">
        <v>2</v>
      </c>
      <c r="X90" s="31">
        <v>2</v>
      </c>
      <c r="Y90" s="31">
        <v>2</v>
      </c>
      <c r="Z90" s="30">
        <v>2</v>
      </c>
      <c r="AA90" s="26">
        <v>2</v>
      </c>
      <c r="AB90" s="25">
        <v>0</v>
      </c>
      <c r="AC90" s="26">
        <v>0</v>
      </c>
      <c r="AD90" s="26">
        <v>0</v>
      </c>
      <c r="AE90" s="26">
        <v>0</v>
      </c>
    </row>
    <row r="91" spans="1:31" ht="16.8" x14ac:dyDescent="0.3">
      <c r="A91" s="130"/>
      <c r="B91" s="33" t="s">
        <v>57</v>
      </c>
      <c r="C91" s="53" t="s">
        <v>40</v>
      </c>
      <c r="D91" s="42"/>
      <c r="E91" s="34">
        <v>2</v>
      </c>
      <c r="F91" s="34">
        <v>2</v>
      </c>
      <c r="G91" s="34">
        <v>2</v>
      </c>
      <c r="H91" s="34">
        <v>2</v>
      </c>
      <c r="I91" s="34">
        <v>2</v>
      </c>
      <c r="J91" s="34">
        <v>2</v>
      </c>
      <c r="K91" s="34">
        <v>2</v>
      </c>
      <c r="L91" s="34">
        <v>2</v>
      </c>
      <c r="M91" s="34">
        <v>2</v>
      </c>
      <c r="N91" s="34">
        <v>2</v>
      </c>
      <c r="O91" s="34">
        <v>2</v>
      </c>
      <c r="P91" s="34">
        <v>2</v>
      </c>
      <c r="Q91" s="34">
        <v>2</v>
      </c>
      <c r="R91" s="34">
        <v>2</v>
      </c>
      <c r="S91" s="34">
        <v>2</v>
      </c>
      <c r="T91" s="34">
        <v>2</v>
      </c>
      <c r="U91" s="34">
        <v>2</v>
      </c>
      <c r="V91" s="34">
        <v>2</v>
      </c>
      <c r="W91" s="34">
        <v>2</v>
      </c>
      <c r="X91" s="34">
        <v>2</v>
      </c>
      <c r="Y91" s="34">
        <v>2</v>
      </c>
      <c r="Z91" s="34">
        <v>2</v>
      </c>
      <c r="AA91" s="34">
        <v>2</v>
      </c>
      <c r="AB91" s="25">
        <v>0</v>
      </c>
      <c r="AC91" s="26">
        <v>0</v>
      </c>
      <c r="AD91" s="26">
        <v>0</v>
      </c>
      <c r="AE91" s="26">
        <v>0</v>
      </c>
    </row>
    <row r="92" spans="1:31" ht="16.8" x14ac:dyDescent="0.3">
      <c r="A92" s="130"/>
      <c r="B92" s="33" t="s">
        <v>58</v>
      </c>
      <c r="C92" s="53" t="s">
        <v>68</v>
      </c>
      <c r="D92" s="42"/>
      <c r="E92" s="34">
        <v>2</v>
      </c>
      <c r="F92" s="34">
        <v>2</v>
      </c>
      <c r="G92" s="34">
        <v>2</v>
      </c>
      <c r="H92" s="34">
        <v>2</v>
      </c>
      <c r="I92" s="34">
        <v>2</v>
      </c>
      <c r="J92" s="34">
        <v>2</v>
      </c>
      <c r="K92" s="34">
        <v>2</v>
      </c>
      <c r="L92" s="34">
        <v>2</v>
      </c>
      <c r="M92" s="34">
        <v>2</v>
      </c>
      <c r="N92" s="34">
        <v>2</v>
      </c>
      <c r="O92" s="34">
        <v>2</v>
      </c>
      <c r="P92" s="34">
        <v>2</v>
      </c>
      <c r="Q92" s="34">
        <v>2</v>
      </c>
      <c r="R92" s="34">
        <v>2</v>
      </c>
      <c r="S92" s="34">
        <v>2</v>
      </c>
      <c r="T92" s="34">
        <v>2</v>
      </c>
      <c r="U92" s="34">
        <v>2</v>
      </c>
      <c r="V92" s="34">
        <v>2</v>
      </c>
      <c r="W92" s="34">
        <v>2</v>
      </c>
      <c r="X92" s="34">
        <v>2</v>
      </c>
      <c r="Y92" s="34">
        <v>2</v>
      </c>
      <c r="Z92" s="34">
        <v>2</v>
      </c>
      <c r="AA92" s="34">
        <v>2</v>
      </c>
      <c r="AB92" s="25">
        <v>0</v>
      </c>
      <c r="AC92" s="26">
        <v>0</v>
      </c>
      <c r="AD92" s="26">
        <v>0</v>
      </c>
      <c r="AE92" s="26">
        <v>0</v>
      </c>
    </row>
    <row r="93" spans="1:31" ht="16.8" x14ac:dyDescent="0.3">
      <c r="A93" s="130"/>
      <c r="B93" s="33" t="s">
        <v>59</v>
      </c>
      <c r="C93" s="53" t="s">
        <v>69</v>
      </c>
      <c r="D93" s="43"/>
      <c r="E93" s="34">
        <v>2</v>
      </c>
      <c r="F93" s="34">
        <v>2</v>
      </c>
      <c r="G93" s="34">
        <v>2</v>
      </c>
      <c r="H93" s="34">
        <v>2</v>
      </c>
      <c r="I93" s="34">
        <v>2</v>
      </c>
      <c r="J93" s="34">
        <v>2</v>
      </c>
      <c r="K93" s="34">
        <v>2</v>
      </c>
      <c r="L93" s="34">
        <v>2</v>
      </c>
      <c r="M93" s="34">
        <v>2</v>
      </c>
      <c r="N93" s="34">
        <v>2</v>
      </c>
      <c r="O93" s="34">
        <v>2</v>
      </c>
      <c r="P93" s="34">
        <v>2</v>
      </c>
      <c r="Q93" s="34">
        <v>2</v>
      </c>
      <c r="R93" s="34">
        <v>2</v>
      </c>
      <c r="S93" s="34">
        <v>2</v>
      </c>
      <c r="T93" s="34">
        <v>2</v>
      </c>
      <c r="U93" s="34">
        <v>2</v>
      </c>
      <c r="V93" s="34">
        <v>2</v>
      </c>
      <c r="W93" s="34">
        <v>2</v>
      </c>
      <c r="X93" s="34">
        <v>2</v>
      </c>
      <c r="Y93" s="34">
        <v>2</v>
      </c>
      <c r="Z93" s="34">
        <v>2</v>
      </c>
      <c r="AA93" s="34">
        <v>2</v>
      </c>
      <c r="AB93" s="25">
        <v>0</v>
      </c>
      <c r="AC93" s="26">
        <v>0</v>
      </c>
      <c r="AD93" s="26">
        <v>0</v>
      </c>
      <c r="AE93" s="26">
        <v>0</v>
      </c>
    </row>
    <row r="94" spans="1:31" ht="16.8" x14ac:dyDescent="0.3">
      <c r="A94" s="130" t="s">
        <v>37</v>
      </c>
      <c r="B94" s="33" t="s">
        <v>48</v>
      </c>
      <c r="C94" s="24" t="s">
        <v>60</v>
      </c>
      <c r="D94" s="42"/>
      <c r="E94" s="34">
        <v>1</v>
      </c>
      <c r="F94" s="34">
        <v>1</v>
      </c>
      <c r="G94" s="34">
        <v>1</v>
      </c>
      <c r="H94" s="34">
        <v>1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25">
        <v>0</v>
      </c>
      <c r="AD94" s="26">
        <v>0</v>
      </c>
      <c r="AE94" s="26">
        <v>0</v>
      </c>
    </row>
    <row r="95" spans="1:31" ht="16.8" x14ac:dyDescent="0.3">
      <c r="A95" s="130"/>
      <c r="B95" s="33" t="s">
        <v>30</v>
      </c>
      <c r="C95" s="24" t="s">
        <v>40</v>
      </c>
      <c r="D95" s="42"/>
      <c r="E95" s="34">
        <v>1</v>
      </c>
      <c r="F95" s="34">
        <v>1</v>
      </c>
      <c r="G95" s="34">
        <v>1</v>
      </c>
      <c r="H95" s="34">
        <v>1</v>
      </c>
      <c r="I95" s="34">
        <v>1</v>
      </c>
      <c r="J95" s="34">
        <v>1</v>
      </c>
      <c r="K95" s="34">
        <v>1</v>
      </c>
      <c r="L95" s="34">
        <v>1</v>
      </c>
      <c r="M95" s="34">
        <v>1</v>
      </c>
      <c r="N95" s="34">
        <v>1</v>
      </c>
      <c r="O95" s="34">
        <v>1</v>
      </c>
      <c r="P95" s="34">
        <v>1</v>
      </c>
      <c r="Q95" s="34">
        <v>1</v>
      </c>
      <c r="R95" s="34">
        <v>1</v>
      </c>
      <c r="S95" s="34">
        <v>1</v>
      </c>
      <c r="T95" s="34">
        <v>1</v>
      </c>
      <c r="U95" s="34">
        <v>1</v>
      </c>
      <c r="V95" s="34">
        <v>1</v>
      </c>
      <c r="W95" s="34">
        <v>1</v>
      </c>
      <c r="X95" s="34">
        <v>1</v>
      </c>
      <c r="Y95" s="31">
        <v>1</v>
      </c>
      <c r="Z95" s="31">
        <v>1</v>
      </c>
      <c r="AA95" s="30">
        <v>1</v>
      </c>
      <c r="AB95" s="26">
        <v>1</v>
      </c>
      <c r="AC95" s="25">
        <v>0</v>
      </c>
      <c r="AD95" s="26">
        <v>0</v>
      </c>
      <c r="AE95" s="26">
        <v>0</v>
      </c>
    </row>
    <row r="96" spans="1:31" ht="16.8" x14ac:dyDescent="0.3">
      <c r="A96" s="130"/>
      <c r="B96" s="33" t="s">
        <v>31</v>
      </c>
      <c r="C96" s="24" t="s">
        <v>61</v>
      </c>
      <c r="D96" s="42"/>
      <c r="E96" s="34">
        <v>1</v>
      </c>
      <c r="F96" s="34">
        <v>1</v>
      </c>
      <c r="G96" s="34">
        <v>1</v>
      </c>
      <c r="H96" s="34">
        <v>1</v>
      </c>
      <c r="I96" s="34">
        <v>1</v>
      </c>
      <c r="J96" s="34">
        <v>1</v>
      </c>
      <c r="K96" s="34">
        <v>1</v>
      </c>
      <c r="L96" s="34">
        <v>1</v>
      </c>
      <c r="M96" s="34">
        <v>1</v>
      </c>
      <c r="N96" s="34">
        <v>1</v>
      </c>
      <c r="O96" s="34">
        <v>1</v>
      </c>
      <c r="P96" s="34">
        <v>1</v>
      </c>
      <c r="Q96" s="34">
        <v>1</v>
      </c>
      <c r="R96" s="34">
        <v>1</v>
      </c>
      <c r="S96" s="34">
        <v>1</v>
      </c>
      <c r="T96" s="34">
        <v>1</v>
      </c>
      <c r="U96" s="34">
        <v>1</v>
      </c>
      <c r="V96" s="34">
        <v>1</v>
      </c>
      <c r="W96" s="34">
        <v>1</v>
      </c>
      <c r="X96" s="34">
        <v>1</v>
      </c>
      <c r="Y96" s="31">
        <v>1</v>
      </c>
      <c r="Z96" s="31">
        <v>1</v>
      </c>
      <c r="AA96" s="30">
        <v>1</v>
      </c>
      <c r="AB96" s="26">
        <v>1</v>
      </c>
      <c r="AC96" s="25">
        <v>0</v>
      </c>
      <c r="AD96" s="26">
        <v>0</v>
      </c>
      <c r="AE96" s="26">
        <v>0</v>
      </c>
    </row>
    <row r="97" spans="1:31" ht="16.8" x14ac:dyDescent="0.3">
      <c r="A97" s="130"/>
      <c r="B97" s="33" t="s">
        <v>49</v>
      </c>
      <c r="C97" s="24" t="s">
        <v>66</v>
      </c>
      <c r="D97" s="42"/>
      <c r="E97" s="34">
        <v>1</v>
      </c>
      <c r="F97" s="34">
        <v>1</v>
      </c>
      <c r="G97" s="34">
        <v>1</v>
      </c>
      <c r="H97" s="34">
        <v>1</v>
      </c>
      <c r="I97" s="34">
        <v>1</v>
      </c>
      <c r="J97" s="34">
        <v>1</v>
      </c>
      <c r="K97" s="34">
        <v>1</v>
      </c>
      <c r="L97" s="34">
        <v>1</v>
      </c>
      <c r="M97" s="34">
        <v>1</v>
      </c>
      <c r="N97" s="34">
        <v>1</v>
      </c>
      <c r="O97" s="34">
        <v>1</v>
      </c>
      <c r="P97" s="34">
        <v>1</v>
      </c>
      <c r="Q97" s="34">
        <v>1</v>
      </c>
      <c r="R97" s="34">
        <v>1</v>
      </c>
      <c r="S97" s="34">
        <v>1</v>
      </c>
      <c r="T97" s="34">
        <v>1</v>
      </c>
      <c r="U97" s="34">
        <v>1</v>
      </c>
      <c r="V97" s="34">
        <v>1</v>
      </c>
      <c r="W97" s="34">
        <v>1</v>
      </c>
      <c r="X97" s="34">
        <v>1</v>
      </c>
      <c r="Y97" s="31">
        <v>1</v>
      </c>
      <c r="Z97" s="31">
        <v>1</v>
      </c>
      <c r="AA97" s="31">
        <v>1</v>
      </c>
      <c r="AB97" s="30">
        <v>1</v>
      </c>
      <c r="AC97" s="25">
        <v>0</v>
      </c>
      <c r="AD97" s="26">
        <v>0</v>
      </c>
      <c r="AE97" s="26">
        <v>0</v>
      </c>
    </row>
    <row r="98" spans="1:31" ht="16.8" x14ac:dyDescent="0.3">
      <c r="A98" s="130"/>
      <c r="B98" s="33" t="s">
        <v>50</v>
      </c>
      <c r="C98" s="24" t="s">
        <v>40</v>
      </c>
      <c r="D98" s="42"/>
      <c r="E98" s="34">
        <v>1</v>
      </c>
      <c r="F98" s="34">
        <v>1</v>
      </c>
      <c r="G98" s="34">
        <v>1</v>
      </c>
      <c r="H98" s="34">
        <v>1</v>
      </c>
      <c r="I98" s="34">
        <v>1</v>
      </c>
      <c r="J98" s="34">
        <v>1</v>
      </c>
      <c r="K98" s="34">
        <v>1</v>
      </c>
      <c r="L98" s="34">
        <v>1</v>
      </c>
      <c r="M98" s="34">
        <v>1</v>
      </c>
      <c r="N98" s="34">
        <v>1</v>
      </c>
      <c r="O98" s="34">
        <v>1</v>
      </c>
      <c r="P98" s="34">
        <v>1</v>
      </c>
      <c r="Q98" s="34">
        <v>1</v>
      </c>
      <c r="R98" s="34">
        <v>1</v>
      </c>
      <c r="S98" s="34">
        <v>1</v>
      </c>
      <c r="T98" s="34">
        <v>1</v>
      </c>
      <c r="U98" s="34">
        <v>1</v>
      </c>
      <c r="V98" s="34">
        <v>1</v>
      </c>
      <c r="W98" s="34">
        <v>1</v>
      </c>
      <c r="X98" s="34">
        <v>1</v>
      </c>
      <c r="Y98" s="34">
        <v>1</v>
      </c>
      <c r="Z98" s="31">
        <v>1</v>
      </c>
      <c r="AA98" s="31">
        <v>1</v>
      </c>
      <c r="AB98" s="30">
        <v>1</v>
      </c>
      <c r="AC98" s="25">
        <v>0</v>
      </c>
      <c r="AD98" s="26">
        <v>0</v>
      </c>
    </row>
    <row r="99" spans="1:31" ht="16.8" x14ac:dyDescent="0.3">
      <c r="A99" s="130"/>
      <c r="B99" s="33" t="s">
        <v>51</v>
      </c>
      <c r="C99" s="24" t="s">
        <v>62</v>
      </c>
      <c r="D99" s="42"/>
      <c r="E99" s="34">
        <v>1</v>
      </c>
      <c r="F99" s="34">
        <v>1</v>
      </c>
      <c r="G99" s="34">
        <v>1</v>
      </c>
      <c r="H99" s="34">
        <v>1</v>
      </c>
      <c r="I99" s="34">
        <v>1</v>
      </c>
      <c r="J99" s="34">
        <v>1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1">
        <v>1</v>
      </c>
      <c r="AA99" s="31">
        <v>1</v>
      </c>
      <c r="AB99" s="30">
        <v>1</v>
      </c>
      <c r="AC99" s="25">
        <v>0</v>
      </c>
      <c r="AD99" s="26">
        <v>0</v>
      </c>
      <c r="AE99" s="26">
        <v>0</v>
      </c>
    </row>
    <row r="100" spans="1:31" ht="16.8" x14ac:dyDescent="0.3">
      <c r="A100" s="130"/>
      <c r="B100" s="33" t="s">
        <v>52</v>
      </c>
      <c r="C100" s="24" t="s">
        <v>63</v>
      </c>
      <c r="D100" s="42"/>
      <c r="E100" s="34">
        <v>1</v>
      </c>
      <c r="F100" s="34">
        <v>1</v>
      </c>
      <c r="G100" s="34">
        <v>1</v>
      </c>
      <c r="H100" s="34">
        <v>1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1">
        <v>1</v>
      </c>
      <c r="AA100" s="31">
        <v>1</v>
      </c>
      <c r="AB100" s="30">
        <v>1</v>
      </c>
      <c r="AC100" s="25">
        <v>0</v>
      </c>
      <c r="AD100" s="26">
        <v>0</v>
      </c>
      <c r="AE100" s="26">
        <v>0</v>
      </c>
    </row>
    <row r="101" spans="1:31" ht="16.8" x14ac:dyDescent="0.3">
      <c r="A101" s="130"/>
      <c r="B101" s="33" t="s">
        <v>53</v>
      </c>
      <c r="C101" s="24" t="s">
        <v>46</v>
      </c>
      <c r="D101" s="42"/>
      <c r="E101" s="34">
        <v>1</v>
      </c>
      <c r="F101" s="34">
        <v>1</v>
      </c>
      <c r="G101" s="34">
        <v>1</v>
      </c>
      <c r="H101" s="34">
        <v>1</v>
      </c>
      <c r="I101" s="34">
        <v>1</v>
      </c>
      <c r="J101" s="34">
        <v>1</v>
      </c>
      <c r="K101" s="34">
        <v>1</v>
      </c>
      <c r="L101" s="34">
        <v>1</v>
      </c>
      <c r="M101" s="34">
        <v>1</v>
      </c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1">
        <v>1</v>
      </c>
      <c r="AA101" s="31">
        <v>1</v>
      </c>
      <c r="AB101" s="30">
        <v>1</v>
      </c>
      <c r="AC101" s="26">
        <v>1</v>
      </c>
      <c r="AD101" s="25">
        <v>0</v>
      </c>
      <c r="AE101" s="26">
        <v>0</v>
      </c>
    </row>
    <row r="102" spans="1:31" ht="16.8" x14ac:dyDescent="0.3">
      <c r="A102" s="130"/>
      <c r="B102" s="33" t="s">
        <v>54</v>
      </c>
      <c r="C102" s="24" t="s">
        <v>41</v>
      </c>
      <c r="D102" s="42"/>
      <c r="E102" s="34">
        <v>1</v>
      </c>
      <c r="F102" s="34">
        <v>1</v>
      </c>
      <c r="G102" s="34">
        <v>1</v>
      </c>
      <c r="H102" s="34">
        <v>1</v>
      </c>
      <c r="I102" s="34">
        <v>1</v>
      </c>
      <c r="J102" s="34">
        <v>1</v>
      </c>
      <c r="K102" s="34">
        <v>1</v>
      </c>
      <c r="L102" s="34">
        <v>1</v>
      </c>
      <c r="M102" s="34">
        <v>1</v>
      </c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1">
        <v>1</v>
      </c>
      <c r="AA102" s="31">
        <v>1</v>
      </c>
      <c r="AB102" s="30">
        <v>1</v>
      </c>
      <c r="AC102" s="26">
        <v>1</v>
      </c>
      <c r="AD102" s="25">
        <v>0</v>
      </c>
      <c r="AE102" s="26">
        <v>0</v>
      </c>
    </row>
    <row r="103" spans="1:31" ht="16.8" x14ac:dyDescent="0.3">
      <c r="A103" s="130"/>
      <c r="B103" s="33" t="s">
        <v>55</v>
      </c>
      <c r="C103" s="24" t="s">
        <v>40</v>
      </c>
      <c r="D103" s="42"/>
      <c r="E103" s="34">
        <v>1</v>
      </c>
      <c r="F103" s="34">
        <v>1</v>
      </c>
      <c r="G103" s="34">
        <v>1</v>
      </c>
      <c r="H103" s="34">
        <v>1</v>
      </c>
      <c r="I103" s="34">
        <v>1</v>
      </c>
      <c r="J103" s="34">
        <v>1</v>
      </c>
      <c r="K103" s="34">
        <v>1</v>
      </c>
      <c r="L103" s="34">
        <v>1</v>
      </c>
      <c r="M103" s="34">
        <v>1</v>
      </c>
      <c r="N103" s="34">
        <v>1</v>
      </c>
      <c r="O103" s="34">
        <v>1</v>
      </c>
      <c r="P103" s="34">
        <v>1</v>
      </c>
      <c r="Q103" s="34">
        <v>1</v>
      </c>
      <c r="R103" s="34">
        <v>1</v>
      </c>
      <c r="S103" s="34">
        <v>1</v>
      </c>
      <c r="T103" s="34">
        <v>1</v>
      </c>
      <c r="U103" s="34">
        <v>1</v>
      </c>
      <c r="V103" s="34">
        <v>1</v>
      </c>
      <c r="W103" s="34">
        <v>1</v>
      </c>
      <c r="X103" s="34">
        <v>1</v>
      </c>
      <c r="Y103" s="34">
        <v>1</v>
      </c>
      <c r="Z103" s="31">
        <v>1</v>
      </c>
      <c r="AA103" s="31">
        <v>1</v>
      </c>
      <c r="AB103" s="30">
        <v>1</v>
      </c>
      <c r="AC103" s="26">
        <v>1</v>
      </c>
      <c r="AD103" s="25">
        <v>0</v>
      </c>
      <c r="AE103" s="26">
        <v>0</v>
      </c>
    </row>
    <row r="104" spans="1:31" ht="16.8" x14ac:dyDescent="0.3">
      <c r="A104" s="130"/>
      <c r="B104" s="33" t="s">
        <v>56</v>
      </c>
      <c r="C104" s="24" t="s">
        <v>42</v>
      </c>
      <c r="D104" s="42"/>
      <c r="E104" s="34">
        <v>1</v>
      </c>
      <c r="F104" s="34">
        <v>1</v>
      </c>
      <c r="G104" s="34">
        <v>1</v>
      </c>
      <c r="H104" s="34">
        <v>1</v>
      </c>
      <c r="I104" s="34">
        <v>1</v>
      </c>
      <c r="J104" s="34">
        <v>1</v>
      </c>
      <c r="K104" s="34">
        <v>1</v>
      </c>
      <c r="L104" s="34">
        <v>1</v>
      </c>
      <c r="M104" s="34">
        <v>1</v>
      </c>
      <c r="N104" s="34">
        <v>1</v>
      </c>
      <c r="O104" s="34">
        <v>1</v>
      </c>
      <c r="P104" s="34">
        <v>1</v>
      </c>
      <c r="Q104" s="34">
        <v>1</v>
      </c>
      <c r="R104" s="34">
        <v>1</v>
      </c>
      <c r="S104" s="34">
        <v>1</v>
      </c>
      <c r="T104" s="34">
        <v>1</v>
      </c>
      <c r="U104" s="34">
        <v>1</v>
      </c>
      <c r="V104" s="34">
        <v>1</v>
      </c>
      <c r="W104" s="34">
        <v>1</v>
      </c>
      <c r="X104" s="34">
        <v>1</v>
      </c>
      <c r="Y104" s="34">
        <v>1</v>
      </c>
      <c r="Z104" s="31">
        <v>1</v>
      </c>
      <c r="AA104" s="31">
        <v>1</v>
      </c>
      <c r="AB104" s="30">
        <v>1</v>
      </c>
      <c r="AC104" s="26">
        <v>1</v>
      </c>
      <c r="AD104" s="25">
        <v>0</v>
      </c>
      <c r="AE104" s="26">
        <v>0</v>
      </c>
    </row>
    <row r="105" spans="1:31" ht="16.8" x14ac:dyDescent="0.3">
      <c r="A105" s="130"/>
      <c r="B105" s="33" t="s">
        <v>57</v>
      </c>
      <c r="C105" s="24" t="s">
        <v>70</v>
      </c>
      <c r="D105" s="42"/>
      <c r="E105" s="34">
        <v>1</v>
      </c>
      <c r="F105" s="34">
        <v>1</v>
      </c>
      <c r="G105" s="34">
        <v>1</v>
      </c>
      <c r="H105" s="34">
        <v>1</v>
      </c>
      <c r="I105" s="34">
        <v>1</v>
      </c>
      <c r="J105" s="34">
        <v>1</v>
      </c>
      <c r="K105" s="34">
        <v>1</v>
      </c>
      <c r="L105" s="34">
        <v>1</v>
      </c>
      <c r="M105" s="34">
        <v>1</v>
      </c>
      <c r="N105" s="34">
        <v>1</v>
      </c>
      <c r="O105" s="34">
        <v>1</v>
      </c>
      <c r="P105" s="34">
        <v>1</v>
      </c>
      <c r="Q105" s="34">
        <v>1</v>
      </c>
      <c r="R105" s="34">
        <v>1</v>
      </c>
      <c r="S105" s="34">
        <v>1</v>
      </c>
      <c r="T105" s="34">
        <v>1</v>
      </c>
      <c r="U105" s="34">
        <v>1</v>
      </c>
      <c r="V105" s="34">
        <v>1</v>
      </c>
      <c r="W105" s="34">
        <v>1</v>
      </c>
      <c r="X105" s="34">
        <v>1</v>
      </c>
      <c r="Y105" s="34">
        <v>1</v>
      </c>
      <c r="Z105" s="31">
        <v>1</v>
      </c>
      <c r="AA105" s="31">
        <v>1</v>
      </c>
      <c r="AB105" s="30">
        <v>1</v>
      </c>
      <c r="AC105" s="26">
        <v>1</v>
      </c>
      <c r="AD105" s="25">
        <v>0</v>
      </c>
      <c r="AE105" s="26">
        <v>0</v>
      </c>
    </row>
    <row r="106" spans="1:31" ht="16.8" x14ac:dyDescent="0.3">
      <c r="A106" s="130"/>
      <c r="B106" s="33" t="s">
        <v>58</v>
      </c>
      <c r="C106" s="24" t="s">
        <v>71</v>
      </c>
      <c r="D106" s="42"/>
      <c r="E106" s="34">
        <v>1</v>
      </c>
      <c r="F106" s="34">
        <v>1</v>
      </c>
      <c r="G106" s="34">
        <v>1</v>
      </c>
      <c r="H106" s="34">
        <v>1</v>
      </c>
      <c r="I106" s="34">
        <v>1</v>
      </c>
      <c r="J106" s="34">
        <v>1</v>
      </c>
      <c r="K106" s="34">
        <v>1</v>
      </c>
      <c r="L106" s="34">
        <v>1</v>
      </c>
      <c r="M106" s="34">
        <v>1</v>
      </c>
      <c r="N106" s="34">
        <v>1</v>
      </c>
      <c r="O106" s="34">
        <v>1</v>
      </c>
      <c r="P106" s="34">
        <v>1</v>
      </c>
      <c r="Q106" s="34">
        <v>1</v>
      </c>
      <c r="R106" s="34">
        <v>1</v>
      </c>
      <c r="S106" s="34">
        <v>1</v>
      </c>
      <c r="T106" s="34">
        <v>1</v>
      </c>
      <c r="U106" s="34">
        <v>1</v>
      </c>
      <c r="V106" s="34">
        <v>1</v>
      </c>
      <c r="W106" s="34">
        <v>1</v>
      </c>
      <c r="X106" s="34">
        <v>1</v>
      </c>
      <c r="Y106" s="34">
        <v>1</v>
      </c>
      <c r="Z106" s="31">
        <v>1</v>
      </c>
      <c r="AA106" s="31">
        <v>1</v>
      </c>
      <c r="AB106" s="30">
        <v>1</v>
      </c>
      <c r="AC106" s="26">
        <v>1</v>
      </c>
      <c r="AD106" s="25">
        <v>0</v>
      </c>
      <c r="AE106" s="26">
        <v>0</v>
      </c>
    </row>
    <row r="107" spans="1:31" ht="16.8" x14ac:dyDescent="0.3">
      <c r="A107" s="130"/>
      <c r="B107" s="33" t="s">
        <v>59</v>
      </c>
      <c r="C107" s="52" t="s">
        <v>68</v>
      </c>
      <c r="D107" s="42"/>
      <c r="E107" s="34">
        <v>1</v>
      </c>
      <c r="F107" s="34">
        <v>1</v>
      </c>
      <c r="G107" s="34">
        <v>1</v>
      </c>
      <c r="H107" s="34">
        <v>1</v>
      </c>
      <c r="I107" s="34">
        <v>1</v>
      </c>
      <c r="J107" s="34">
        <v>1</v>
      </c>
      <c r="K107" s="34">
        <v>1</v>
      </c>
      <c r="L107" s="34">
        <v>1</v>
      </c>
      <c r="M107" s="34">
        <v>1</v>
      </c>
      <c r="N107" s="34">
        <v>1</v>
      </c>
      <c r="O107" s="34">
        <v>1</v>
      </c>
      <c r="P107" s="34">
        <v>1</v>
      </c>
      <c r="Q107" s="34">
        <v>1</v>
      </c>
      <c r="R107" s="34">
        <v>1</v>
      </c>
      <c r="S107" s="34">
        <v>1</v>
      </c>
      <c r="T107" s="34">
        <v>1</v>
      </c>
      <c r="U107" s="34">
        <v>1</v>
      </c>
      <c r="V107" s="34">
        <v>1</v>
      </c>
      <c r="W107" s="34">
        <v>1</v>
      </c>
      <c r="X107" s="34">
        <v>1</v>
      </c>
      <c r="Y107" s="34">
        <v>1</v>
      </c>
      <c r="Z107" s="31">
        <v>1</v>
      </c>
      <c r="AA107" s="31">
        <v>1</v>
      </c>
      <c r="AB107" s="30">
        <v>1</v>
      </c>
      <c r="AC107" s="26">
        <v>1</v>
      </c>
      <c r="AD107" s="25">
        <v>0</v>
      </c>
      <c r="AE107" s="26">
        <v>0</v>
      </c>
    </row>
    <row r="108" spans="1:31" ht="16.8" x14ac:dyDescent="0.3">
      <c r="A108" s="131" t="s">
        <v>38</v>
      </c>
      <c r="B108" s="131"/>
      <c r="C108" s="44" t="s">
        <v>25</v>
      </c>
      <c r="D108" s="45"/>
      <c r="E108" s="46">
        <v>4</v>
      </c>
      <c r="F108" s="46">
        <v>4</v>
      </c>
      <c r="G108" s="46">
        <v>4</v>
      </c>
      <c r="H108" s="46">
        <v>4</v>
      </c>
      <c r="I108" s="46">
        <v>4</v>
      </c>
      <c r="J108" s="46">
        <v>4</v>
      </c>
      <c r="K108" s="46">
        <v>4</v>
      </c>
      <c r="L108" s="46">
        <v>4</v>
      </c>
      <c r="M108" s="46">
        <v>4</v>
      </c>
      <c r="N108" s="46">
        <v>4</v>
      </c>
      <c r="O108" s="46">
        <v>4</v>
      </c>
      <c r="P108" s="46">
        <v>4</v>
      </c>
      <c r="Q108" s="46">
        <v>4</v>
      </c>
      <c r="R108" s="46">
        <v>4</v>
      </c>
      <c r="S108" s="46">
        <v>4</v>
      </c>
      <c r="T108" s="46">
        <v>4</v>
      </c>
      <c r="U108" s="46">
        <v>4</v>
      </c>
      <c r="V108" s="46">
        <v>4</v>
      </c>
      <c r="W108" s="46">
        <v>4</v>
      </c>
      <c r="X108" s="46">
        <v>4</v>
      </c>
      <c r="Y108" s="46">
        <v>4</v>
      </c>
      <c r="Z108" s="46">
        <v>4</v>
      </c>
      <c r="AA108" s="46">
        <v>4</v>
      </c>
      <c r="AB108" s="46">
        <v>4</v>
      </c>
      <c r="AC108" s="46">
        <v>4</v>
      </c>
      <c r="AD108" s="46">
        <v>4</v>
      </c>
      <c r="AE108" s="25">
        <v>0</v>
      </c>
    </row>
    <row r="109" spans="1:31" ht="16.8" x14ac:dyDescent="0.3">
      <c r="A109" s="132" t="s">
        <v>39</v>
      </c>
      <c r="B109" s="133"/>
      <c r="C109" s="47" t="s">
        <v>25</v>
      </c>
      <c r="D109" s="48"/>
      <c r="E109" s="37">
        <v>4</v>
      </c>
      <c r="F109" s="37">
        <v>4</v>
      </c>
      <c r="G109" s="37">
        <v>4</v>
      </c>
      <c r="H109" s="37">
        <v>4</v>
      </c>
      <c r="I109" s="37">
        <v>4</v>
      </c>
      <c r="J109" s="37">
        <v>4</v>
      </c>
      <c r="K109" s="37">
        <v>4</v>
      </c>
      <c r="L109" s="37">
        <v>4</v>
      </c>
      <c r="M109" s="37">
        <v>4</v>
      </c>
      <c r="N109" s="37">
        <v>4</v>
      </c>
      <c r="O109" s="37">
        <v>4</v>
      </c>
      <c r="P109" s="37">
        <v>4</v>
      </c>
      <c r="Q109" s="37">
        <v>4</v>
      </c>
      <c r="R109" s="37">
        <v>4</v>
      </c>
      <c r="S109" s="37">
        <v>4</v>
      </c>
      <c r="T109" s="37">
        <v>4</v>
      </c>
      <c r="U109" s="37">
        <v>4</v>
      </c>
      <c r="V109" s="37">
        <v>4</v>
      </c>
      <c r="W109" s="37">
        <v>4</v>
      </c>
      <c r="X109" s="37">
        <v>4</v>
      </c>
      <c r="Y109" s="37">
        <v>4</v>
      </c>
      <c r="Z109" s="37">
        <v>4</v>
      </c>
      <c r="AA109" s="37">
        <v>4</v>
      </c>
      <c r="AB109" s="37">
        <v>4</v>
      </c>
      <c r="AC109" s="37">
        <v>4</v>
      </c>
      <c r="AD109" s="37">
        <v>4</v>
      </c>
      <c r="AE109" s="25">
        <v>0</v>
      </c>
    </row>
    <row r="110" spans="1:31" ht="16.8" x14ac:dyDescent="0.3">
      <c r="A110" s="126" t="s">
        <v>9</v>
      </c>
      <c r="B110" s="127"/>
      <c r="C110" s="128"/>
      <c r="D110" s="49"/>
      <c r="E110" s="37">
        <f t="shared" ref="E110:AD110" si="1">SUM(E17:E109)</f>
        <v>362</v>
      </c>
      <c r="F110" s="37">
        <f t="shared" si="1"/>
        <v>361</v>
      </c>
      <c r="G110" s="37">
        <f t="shared" si="1"/>
        <v>337</v>
      </c>
      <c r="H110" s="37">
        <f t="shared" si="1"/>
        <v>331</v>
      </c>
      <c r="I110" s="37">
        <f t="shared" si="1"/>
        <v>313</v>
      </c>
      <c r="J110" s="37">
        <f t="shared" si="1"/>
        <v>303</v>
      </c>
      <c r="K110" s="37">
        <f t="shared" si="1"/>
        <v>293</v>
      </c>
      <c r="L110" s="37">
        <f t="shared" si="1"/>
        <v>268</v>
      </c>
      <c r="M110" s="37">
        <f t="shared" si="1"/>
        <v>234</v>
      </c>
      <c r="N110" s="37">
        <f t="shared" si="1"/>
        <v>226</v>
      </c>
      <c r="O110" s="37">
        <f t="shared" si="1"/>
        <v>203</v>
      </c>
      <c r="P110" s="37">
        <f t="shared" si="1"/>
        <v>173</v>
      </c>
      <c r="Q110" s="37">
        <f t="shared" si="1"/>
        <v>172</v>
      </c>
      <c r="R110" s="29">
        <f t="shared" si="1"/>
        <v>129</v>
      </c>
      <c r="S110" s="50">
        <f t="shared" si="1"/>
        <v>94</v>
      </c>
      <c r="T110" s="50">
        <f t="shared" si="1"/>
        <v>89</v>
      </c>
      <c r="U110" s="50">
        <f t="shared" si="1"/>
        <v>81</v>
      </c>
      <c r="V110" s="50">
        <f t="shared" si="1"/>
        <v>79</v>
      </c>
      <c r="W110" s="50">
        <f t="shared" si="1"/>
        <v>68</v>
      </c>
      <c r="X110" s="50">
        <f t="shared" si="1"/>
        <v>58</v>
      </c>
      <c r="Y110" s="50">
        <f t="shared" si="1"/>
        <v>51</v>
      </c>
      <c r="Z110" s="50">
        <f t="shared" si="1"/>
        <v>44</v>
      </c>
      <c r="AA110" s="50">
        <f t="shared" si="1"/>
        <v>36</v>
      </c>
      <c r="AB110" s="50">
        <f t="shared" si="1"/>
        <v>22</v>
      </c>
      <c r="AC110" s="50">
        <f t="shared" si="1"/>
        <v>15</v>
      </c>
      <c r="AD110" s="50">
        <f t="shared" si="1"/>
        <v>8</v>
      </c>
      <c r="AE110" s="50">
        <f t="shared" ref="AE110" si="2">SUM(AE17:AE109)</f>
        <v>0</v>
      </c>
    </row>
    <row r="113" spans="1:31" ht="52.2" x14ac:dyDescent="0.3">
      <c r="A113" s="18" t="s">
        <v>21</v>
      </c>
      <c r="B113" s="19" t="s">
        <v>22</v>
      </c>
      <c r="C113" s="20" t="s">
        <v>23</v>
      </c>
      <c r="D113" s="20" t="s">
        <v>8</v>
      </c>
      <c r="E113" s="20" t="s">
        <v>9</v>
      </c>
      <c r="F113" s="21">
        <v>46103</v>
      </c>
      <c r="G113" s="21">
        <f t="shared" ref="G113" si="3">F113+1</f>
        <v>46104</v>
      </c>
      <c r="H113" s="21">
        <f t="shared" ref="H113" si="4">G113+1</f>
        <v>46105</v>
      </c>
      <c r="I113" s="21">
        <f t="shared" ref="I113" si="5">H113+1</f>
        <v>46106</v>
      </c>
      <c r="J113" s="21">
        <f t="shared" ref="J113" si="6">I113+1</f>
        <v>46107</v>
      </c>
      <c r="K113" s="21">
        <f t="shared" ref="K113" si="7">J113+1</f>
        <v>46108</v>
      </c>
      <c r="L113" s="21">
        <f t="shared" ref="L113" si="8">K113+1</f>
        <v>46109</v>
      </c>
      <c r="M113" s="21">
        <f t="shared" ref="M113" si="9">L113+1</f>
        <v>46110</v>
      </c>
      <c r="N113" s="21">
        <f t="shared" ref="N113" si="10">M113+1</f>
        <v>46111</v>
      </c>
      <c r="O113" s="21">
        <f>N113+1</f>
        <v>46112</v>
      </c>
      <c r="P113" s="21">
        <f t="shared" ref="P113" si="11">O113+1</f>
        <v>46113</v>
      </c>
      <c r="Q113" s="21">
        <f t="shared" ref="Q113" si="12">P113+1</f>
        <v>46114</v>
      </c>
      <c r="R113" s="21">
        <f t="shared" ref="R113" si="13">Q113+1</f>
        <v>46115</v>
      </c>
      <c r="S113" s="21">
        <f t="shared" ref="S113" si="14">R113+1</f>
        <v>46116</v>
      </c>
      <c r="T113" s="21">
        <f>S113+1</f>
        <v>46117</v>
      </c>
      <c r="U113" s="21">
        <f t="shared" ref="U113" si="15">T113+1</f>
        <v>46118</v>
      </c>
      <c r="V113" s="21">
        <f t="shared" ref="V113" si="16">U113+1</f>
        <v>46119</v>
      </c>
      <c r="W113" s="21">
        <f t="shared" ref="W113" si="17">V113+1</f>
        <v>46120</v>
      </c>
      <c r="X113" s="21">
        <f t="shared" ref="X113" si="18">W113+1</f>
        <v>46121</v>
      </c>
      <c r="Y113" s="21">
        <f t="shared" ref="Y113" si="19">X113+1</f>
        <v>46122</v>
      </c>
      <c r="Z113" s="21">
        <f t="shared" ref="Z113" si="20">Y113+1</f>
        <v>46123</v>
      </c>
      <c r="AA113" s="21">
        <f t="shared" ref="AA113" si="21">Z113+1</f>
        <v>46124</v>
      </c>
      <c r="AB113" s="21">
        <f t="shared" ref="AB113" si="22">AA113+1</f>
        <v>46125</v>
      </c>
      <c r="AC113" s="21">
        <f t="shared" ref="AC113" si="23">AB113+1</f>
        <v>46126</v>
      </c>
      <c r="AD113" s="21">
        <f t="shared" ref="AD113:AE113" si="24">AC113+1</f>
        <v>46127</v>
      </c>
      <c r="AE113" s="21">
        <f t="shared" si="24"/>
        <v>46128</v>
      </c>
    </row>
    <row r="114" spans="1:31" ht="16.8" x14ac:dyDescent="0.3">
      <c r="A114" s="134" t="s">
        <v>24</v>
      </c>
      <c r="B114" s="135"/>
      <c r="C114" s="22" t="s">
        <v>25</v>
      </c>
      <c r="D114" s="23">
        <v>4</v>
      </c>
      <c r="E114" s="24"/>
      <c r="F114" s="24">
        <v>4</v>
      </c>
      <c r="G114" s="25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</row>
    <row r="115" spans="1:31" ht="16.8" x14ac:dyDescent="0.3">
      <c r="A115" s="134" t="s">
        <v>26</v>
      </c>
      <c r="B115" s="135"/>
      <c r="C115" s="27" t="s">
        <v>40</v>
      </c>
      <c r="D115" s="28">
        <v>4</v>
      </c>
      <c r="E115" s="24"/>
      <c r="F115" s="24">
        <v>4</v>
      </c>
      <c r="G115" s="25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</row>
    <row r="116" spans="1:31" ht="16.8" x14ac:dyDescent="0.3">
      <c r="A116" s="134" t="s">
        <v>27</v>
      </c>
      <c r="B116" s="135"/>
      <c r="C116" s="22" t="s">
        <v>25</v>
      </c>
      <c r="D116" s="29">
        <v>4</v>
      </c>
      <c r="E116" s="24"/>
      <c r="F116" s="24">
        <v>4</v>
      </c>
      <c r="G116" s="25">
        <v>0</v>
      </c>
      <c r="H116" s="30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</row>
    <row r="117" spans="1:31" ht="16.8" x14ac:dyDescent="0.3">
      <c r="A117" s="136" t="s">
        <v>28</v>
      </c>
      <c r="B117" s="137"/>
      <c r="C117" s="27" t="s">
        <v>25</v>
      </c>
      <c r="D117" s="29">
        <v>22</v>
      </c>
      <c r="E117" s="31"/>
      <c r="F117" s="31">
        <v>24</v>
      </c>
      <c r="G117" s="31">
        <v>12</v>
      </c>
      <c r="H117" s="60">
        <v>10</v>
      </c>
      <c r="I117" s="32">
        <v>0</v>
      </c>
      <c r="J117" s="54">
        <v>0</v>
      </c>
      <c r="K117" s="30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</row>
    <row r="118" spans="1:31" ht="33.6" customHeight="1" x14ac:dyDescent="0.3">
      <c r="A118" s="138" t="s">
        <v>29</v>
      </c>
      <c r="B118" s="33" t="s">
        <v>48</v>
      </c>
      <c r="C118" s="51" t="s">
        <v>41</v>
      </c>
      <c r="D118" s="35">
        <v>1</v>
      </c>
      <c r="E118" s="34"/>
      <c r="F118" s="34">
        <v>1</v>
      </c>
      <c r="G118" s="34">
        <v>1</v>
      </c>
      <c r="H118" s="25">
        <v>0</v>
      </c>
      <c r="I118" s="30">
        <v>0</v>
      </c>
      <c r="J118" s="54">
        <v>0</v>
      </c>
      <c r="K118" s="34">
        <v>0</v>
      </c>
      <c r="L118" s="31">
        <v>0</v>
      </c>
      <c r="M118" s="30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</row>
    <row r="119" spans="1:31" ht="16.8" x14ac:dyDescent="0.3">
      <c r="A119" s="139"/>
      <c r="B119" s="33" t="s">
        <v>30</v>
      </c>
      <c r="C119" s="51" t="s">
        <v>41</v>
      </c>
      <c r="D119" s="36">
        <v>1</v>
      </c>
      <c r="E119" s="34"/>
      <c r="F119" s="34">
        <v>1</v>
      </c>
      <c r="G119" s="34">
        <v>1</v>
      </c>
      <c r="H119" s="25">
        <v>0</v>
      </c>
      <c r="I119" s="26">
        <v>0</v>
      </c>
      <c r="J119" s="34">
        <v>0</v>
      </c>
      <c r="K119" s="34">
        <v>0</v>
      </c>
      <c r="L119" s="31">
        <v>0</v>
      </c>
      <c r="M119" s="30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</row>
    <row r="120" spans="1:31" ht="16.8" x14ac:dyDescent="0.3">
      <c r="A120" s="139"/>
      <c r="B120" s="33" t="s">
        <v>31</v>
      </c>
      <c r="C120" s="51" t="s">
        <v>42</v>
      </c>
      <c r="D120" s="36">
        <v>1</v>
      </c>
      <c r="E120" s="34"/>
      <c r="F120" s="34">
        <v>1</v>
      </c>
      <c r="G120" s="34">
        <v>1</v>
      </c>
      <c r="H120" s="25">
        <v>0</v>
      </c>
      <c r="I120" s="26">
        <v>0</v>
      </c>
      <c r="J120" s="34">
        <v>0</v>
      </c>
      <c r="K120" s="34">
        <v>0</v>
      </c>
      <c r="L120" s="31">
        <v>0</v>
      </c>
      <c r="M120" s="30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</row>
    <row r="121" spans="1:31" ht="16.8" x14ac:dyDescent="0.3">
      <c r="A121" s="139"/>
      <c r="B121" s="33" t="s">
        <v>49</v>
      </c>
      <c r="C121" s="51" t="s">
        <v>43</v>
      </c>
      <c r="D121" s="36">
        <v>2</v>
      </c>
      <c r="E121" s="34"/>
      <c r="F121" s="34">
        <v>2</v>
      </c>
      <c r="G121" s="34">
        <v>2</v>
      </c>
      <c r="H121" s="25">
        <v>0</v>
      </c>
      <c r="I121" s="39">
        <v>0</v>
      </c>
      <c r="J121" s="34">
        <v>0</v>
      </c>
      <c r="K121" s="34">
        <v>0</v>
      </c>
      <c r="L121" s="31">
        <v>0</v>
      </c>
      <c r="M121" s="30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</row>
    <row r="122" spans="1:31" ht="16.8" x14ac:dyDescent="0.3">
      <c r="A122" s="139"/>
      <c r="B122" s="33" t="s">
        <v>50</v>
      </c>
      <c r="C122" s="24" t="s">
        <v>44</v>
      </c>
      <c r="D122" s="36">
        <v>1</v>
      </c>
      <c r="E122" s="34"/>
      <c r="F122" s="34">
        <v>1</v>
      </c>
      <c r="G122" s="34">
        <v>1</v>
      </c>
      <c r="H122" s="25">
        <v>0</v>
      </c>
      <c r="I122" s="39">
        <v>0</v>
      </c>
      <c r="J122" s="34">
        <v>0</v>
      </c>
      <c r="K122" s="34">
        <v>0</v>
      </c>
      <c r="L122" s="31">
        <v>0</v>
      </c>
      <c r="M122" s="30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</row>
    <row r="123" spans="1:31" ht="16.8" customHeight="1" x14ac:dyDescent="0.3">
      <c r="A123" s="139"/>
      <c r="B123" s="33" t="s">
        <v>51</v>
      </c>
      <c r="C123" s="24" t="s">
        <v>45</v>
      </c>
      <c r="D123" s="36">
        <v>1</v>
      </c>
      <c r="E123" s="34"/>
      <c r="F123" s="34">
        <v>1</v>
      </c>
      <c r="G123" s="34">
        <v>1</v>
      </c>
      <c r="H123" s="34">
        <v>1</v>
      </c>
      <c r="I123" s="25">
        <v>0</v>
      </c>
      <c r="J123" s="55">
        <v>0</v>
      </c>
      <c r="K123" s="34">
        <v>0</v>
      </c>
      <c r="L123" s="31">
        <v>0</v>
      </c>
      <c r="M123" s="30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</row>
    <row r="124" spans="1:31" ht="16.8" x14ac:dyDescent="0.3">
      <c r="A124" s="139"/>
      <c r="B124" s="33" t="s">
        <v>52</v>
      </c>
      <c r="C124" s="24" t="s">
        <v>40</v>
      </c>
      <c r="D124" s="36">
        <v>2</v>
      </c>
      <c r="E124" s="34"/>
      <c r="F124" s="34">
        <v>1</v>
      </c>
      <c r="G124" s="34">
        <v>1</v>
      </c>
      <c r="H124" s="61">
        <v>2</v>
      </c>
      <c r="I124" s="25">
        <v>0</v>
      </c>
      <c r="J124" s="30">
        <v>0</v>
      </c>
      <c r="K124" s="34">
        <v>0</v>
      </c>
      <c r="L124" s="31">
        <v>0</v>
      </c>
      <c r="M124" s="31">
        <v>0</v>
      </c>
      <c r="N124" s="30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</row>
    <row r="125" spans="1:31" ht="16.8" x14ac:dyDescent="0.3">
      <c r="A125" s="139"/>
      <c r="B125" s="33" t="s">
        <v>53</v>
      </c>
      <c r="C125" s="24" t="s">
        <v>42</v>
      </c>
      <c r="D125" s="36">
        <v>2</v>
      </c>
      <c r="E125" s="34"/>
      <c r="F125" s="34">
        <v>2</v>
      </c>
      <c r="G125" s="34">
        <v>2</v>
      </c>
      <c r="H125" s="34">
        <v>2</v>
      </c>
      <c r="I125" s="25">
        <v>0</v>
      </c>
      <c r="J125" s="34">
        <v>0</v>
      </c>
      <c r="K125" s="34">
        <v>0</v>
      </c>
      <c r="L125" s="31">
        <v>0</v>
      </c>
      <c r="M125" s="31">
        <v>0</v>
      </c>
      <c r="N125" s="30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</row>
    <row r="126" spans="1:31" ht="16.8" x14ac:dyDescent="0.3">
      <c r="A126" s="139"/>
      <c r="B126" s="33" t="s">
        <v>54</v>
      </c>
      <c r="C126" s="24" t="s">
        <v>46</v>
      </c>
      <c r="D126" s="36">
        <v>2</v>
      </c>
      <c r="E126" s="34"/>
      <c r="F126" s="34">
        <v>2</v>
      </c>
      <c r="G126" s="34">
        <v>2</v>
      </c>
      <c r="H126" s="34">
        <v>2</v>
      </c>
      <c r="I126" s="25">
        <v>0</v>
      </c>
      <c r="J126" s="34">
        <v>0</v>
      </c>
      <c r="K126" s="34">
        <v>0</v>
      </c>
      <c r="L126" s="31">
        <v>0</v>
      </c>
      <c r="M126" s="31">
        <v>0</v>
      </c>
      <c r="N126" s="30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</row>
    <row r="127" spans="1:31" ht="16.8" x14ac:dyDescent="0.3">
      <c r="A127" s="139"/>
      <c r="B127" s="33" t="s">
        <v>55</v>
      </c>
      <c r="C127" s="24" t="s">
        <v>42</v>
      </c>
      <c r="D127" s="36">
        <v>4</v>
      </c>
      <c r="E127" s="34"/>
      <c r="F127" s="34">
        <v>2</v>
      </c>
      <c r="G127" s="34">
        <v>2</v>
      </c>
      <c r="H127" s="34">
        <v>2</v>
      </c>
      <c r="I127" s="61">
        <v>4</v>
      </c>
      <c r="J127" s="25">
        <v>0</v>
      </c>
      <c r="K127" s="34">
        <v>0</v>
      </c>
      <c r="L127" s="31">
        <v>0</v>
      </c>
      <c r="M127" s="31">
        <v>0</v>
      </c>
      <c r="N127" s="30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</row>
    <row r="128" spans="1:31" ht="16.8" x14ac:dyDescent="0.3">
      <c r="A128" s="139"/>
      <c r="B128" s="33" t="s">
        <v>56</v>
      </c>
      <c r="C128" s="24" t="s">
        <v>47</v>
      </c>
      <c r="D128" s="36">
        <v>2</v>
      </c>
      <c r="E128" s="34"/>
      <c r="F128" s="34">
        <v>2</v>
      </c>
      <c r="G128" s="34">
        <v>2</v>
      </c>
      <c r="H128" s="34">
        <v>2</v>
      </c>
      <c r="I128" s="34">
        <v>2</v>
      </c>
      <c r="J128" s="25">
        <v>0</v>
      </c>
      <c r="K128" s="55">
        <v>0</v>
      </c>
      <c r="L128" s="31">
        <v>0</v>
      </c>
      <c r="M128" s="31">
        <v>0</v>
      </c>
      <c r="N128" s="30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</row>
    <row r="129" spans="1:31" ht="16.8" x14ac:dyDescent="0.3">
      <c r="A129" s="139"/>
      <c r="B129" s="33" t="s">
        <v>57</v>
      </c>
      <c r="C129" s="24" t="s">
        <v>44</v>
      </c>
      <c r="D129" s="36">
        <v>2</v>
      </c>
      <c r="E129" s="34"/>
      <c r="F129" s="34">
        <v>2</v>
      </c>
      <c r="G129" s="34">
        <v>2</v>
      </c>
      <c r="H129" s="34">
        <v>2</v>
      </c>
      <c r="I129" s="34">
        <v>2</v>
      </c>
      <c r="J129" s="25">
        <v>0</v>
      </c>
      <c r="K129" s="34">
        <v>0</v>
      </c>
      <c r="L129" s="31">
        <v>0</v>
      </c>
      <c r="M129" s="31">
        <v>0</v>
      </c>
      <c r="N129" s="30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</row>
    <row r="130" spans="1:31" ht="16.8" x14ac:dyDescent="0.3">
      <c r="A130" s="139"/>
      <c r="B130" s="33" t="s">
        <v>58</v>
      </c>
      <c r="C130" s="24" t="s">
        <v>40</v>
      </c>
      <c r="D130" s="36">
        <v>2</v>
      </c>
      <c r="E130" s="34"/>
      <c r="F130" s="34">
        <v>2</v>
      </c>
      <c r="G130" s="34">
        <v>2</v>
      </c>
      <c r="H130" s="34">
        <v>2</v>
      </c>
      <c r="I130" s="55">
        <v>2</v>
      </c>
      <c r="J130" s="25">
        <v>0</v>
      </c>
      <c r="K130" s="34">
        <v>0</v>
      </c>
      <c r="L130" s="34">
        <v>0</v>
      </c>
      <c r="M130" s="31">
        <v>0</v>
      </c>
      <c r="N130" s="31">
        <v>0</v>
      </c>
      <c r="O130" s="30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</row>
    <row r="131" spans="1:31" ht="16.8" x14ac:dyDescent="0.3">
      <c r="A131" s="139"/>
      <c r="B131" s="33" t="s">
        <v>59</v>
      </c>
      <c r="C131" s="24" t="s">
        <v>40</v>
      </c>
      <c r="D131" s="36">
        <v>2</v>
      </c>
      <c r="E131" s="34"/>
      <c r="F131" s="34">
        <v>2</v>
      </c>
      <c r="G131" s="34">
        <v>2</v>
      </c>
      <c r="H131" s="34">
        <v>2</v>
      </c>
      <c r="I131" s="34">
        <v>2</v>
      </c>
      <c r="J131" s="25">
        <v>0</v>
      </c>
      <c r="K131" s="34">
        <v>0</v>
      </c>
      <c r="L131" s="34">
        <v>0</v>
      </c>
      <c r="M131" s="31">
        <v>0</v>
      </c>
      <c r="N131" s="31">
        <v>0</v>
      </c>
      <c r="O131" s="30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</row>
    <row r="132" spans="1:31" ht="16.8" x14ac:dyDescent="0.3">
      <c r="A132" s="140"/>
      <c r="B132" s="33" t="s">
        <v>32</v>
      </c>
      <c r="C132" s="26" t="s">
        <v>25</v>
      </c>
      <c r="D132" s="36">
        <v>8</v>
      </c>
      <c r="E132" s="34"/>
      <c r="F132" s="34">
        <v>10</v>
      </c>
      <c r="G132" s="34">
        <v>10</v>
      </c>
      <c r="H132" s="34">
        <v>10</v>
      </c>
      <c r="I132" s="34">
        <v>10</v>
      </c>
      <c r="J132" s="60">
        <v>8</v>
      </c>
      <c r="K132" s="25">
        <v>0</v>
      </c>
      <c r="L132" s="34">
        <v>0</v>
      </c>
      <c r="M132" s="31">
        <v>0</v>
      </c>
      <c r="N132" s="31">
        <v>0</v>
      </c>
      <c r="O132" s="30">
        <v>0</v>
      </c>
      <c r="P132" s="26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</row>
    <row r="133" spans="1:31" ht="16.8" x14ac:dyDescent="0.3">
      <c r="A133" s="141" t="s">
        <v>33</v>
      </c>
      <c r="B133" s="33" t="s">
        <v>48</v>
      </c>
      <c r="C133" s="52" t="s">
        <v>60</v>
      </c>
      <c r="D133" s="35">
        <v>1</v>
      </c>
      <c r="E133" s="34"/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25">
        <v>0</v>
      </c>
      <c r="M133" s="56">
        <v>0</v>
      </c>
      <c r="N133" s="34">
        <v>0</v>
      </c>
      <c r="O133" s="31">
        <v>0</v>
      </c>
      <c r="P133" s="31">
        <v>0</v>
      </c>
      <c r="Q133" s="30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</row>
    <row r="134" spans="1:31" ht="16.8" x14ac:dyDescent="0.3">
      <c r="A134" s="142"/>
      <c r="B134" s="33" t="s">
        <v>30</v>
      </c>
      <c r="C134" s="53" t="s">
        <v>46</v>
      </c>
      <c r="D134" s="40">
        <v>2</v>
      </c>
      <c r="E134" s="34"/>
      <c r="F134" s="34">
        <v>1</v>
      </c>
      <c r="G134" s="34">
        <v>1</v>
      </c>
      <c r="H134" s="34">
        <v>1</v>
      </c>
      <c r="I134" s="34">
        <v>1</v>
      </c>
      <c r="J134" s="34">
        <v>1</v>
      </c>
      <c r="K134" s="61">
        <v>2</v>
      </c>
      <c r="L134" s="25">
        <v>0</v>
      </c>
      <c r="M134" s="34">
        <v>0</v>
      </c>
      <c r="N134" s="34">
        <v>0</v>
      </c>
      <c r="O134" s="34">
        <v>0</v>
      </c>
      <c r="P134" s="31">
        <v>0</v>
      </c>
      <c r="Q134" s="30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</row>
    <row r="135" spans="1:31" ht="16.8" x14ac:dyDescent="0.3">
      <c r="A135" s="142"/>
      <c r="B135" s="33" t="s">
        <v>31</v>
      </c>
      <c r="C135" s="53" t="s">
        <v>61</v>
      </c>
      <c r="D135" s="40">
        <v>1</v>
      </c>
      <c r="E135" s="34"/>
      <c r="F135" s="34">
        <v>1</v>
      </c>
      <c r="G135" s="34">
        <v>1</v>
      </c>
      <c r="H135" s="34">
        <v>1</v>
      </c>
      <c r="I135" s="34">
        <v>1</v>
      </c>
      <c r="J135" s="34">
        <v>1</v>
      </c>
      <c r="K135" s="34">
        <v>1</v>
      </c>
      <c r="L135" s="25">
        <v>0</v>
      </c>
      <c r="M135" s="34">
        <v>0</v>
      </c>
      <c r="N135" s="34">
        <v>0</v>
      </c>
      <c r="O135" s="34">
        <v>0</v>
      </c>
      <c r="P135" s="31">
        <v>0</v>
      </c>
      <c r="Q135" s="30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</row>
    <row r="136" spans="1:31" ht="16.8" x14ac:dyDescent="0.3">
      <c r="A136" s="142"/>
      <c r="B136" s="33" t="s">
        <v>49</v>
      </c>
      <c r="C136" s="53" t="s">
        <v>62</v>
      </c>
      <c r="D136" s="40">
        <v>1</v>
      </c>
      <c r="E136" s="34"/>
      <c r="F136" s="34">
        <v>1</v>
      </c>
      <c r="G136" s="34">
        <v>1</v>
      </c>
      <c r="H136" s="34">
        <v>1</v>
      </c>
      <c r="I136" s="34">
        <v>1</v>
      </c>
      <c r="J136" s="34">
        <v>1</v>
      </c>
      <c r="K136" s="34">
        <v>1</v>
      </c>
      <c r="L136" s="25">
        <v>0</v>
      </c>
      <c r="M136" s="56">
        <v>0</v>
      </c>
      <c r="N136" s="34">
        <v>0</v>
      </c>
      <c r="O136" s="34">
        <v>0</v>
      </c>
      <c r="P136" s="31">
        <v>0</v>
      </c>
      <c r="Q136" s="30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</row>
    <row r="137" spans="1:31" ht="16.8" x14ac:dyDescent="0.3">
      <c r="A137" s="142"/>
      <c r="B137" s="33" t="s">
        <v>50</v>
      </c>
      <c r="C137" s="53" t="s">
        <v>40</v>
      </c>
      <c r="D137" s="40">
        <v>3</v>
      </c>
      <c r="E137" s="34"/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61">
        <v>3</v>
      </c>
      <c r="L137" s="25">
        <v>0</v>
      </c>
      <c r="M137" s="34">
        <v>0</v>
      </c>
      <c r="N137" s="34">
        <v>0</v>
      </c>
      <c r="O137" s="34">
        <v>0</v>
      </c>
      <c r="P137" s="31">
        <v>0</v>
      </c>
      <c r="Q137" s="30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</row>
    <row r="138" spans="1:31" ht="16.8" x14ac:dyDescent="0.3">
      <c r="A138" s="142"/>
      <c r="B138" s="33" t="s">
        <v>51</v>
      </c>
      <c r="C138" s="53" t="s">
        <v>46</v>
      </c>
      <c r="D138" s="40">
        <v>2</v>
      </c>
      <c r="E138" s="34"/>
      <c r="F138" s="34">
        <v>2</v>
      </c>
      <c r="G138" s="34">
        <v>2</v>
      </c>
      <c r="H138" s="34">
        <v>2</v>
      </c>
      <c r="I138" s="34">
        <v>2</v>
      </c>
      <c r="J138" s="34">
        <v>2</v>
      </c>
      <c r="K138" s="34">
        <v>2</v>
      </c>
      <c r="L138" s="25">
        <v>0</v>
      </c>
      <c r="M138" s="34">
        <v>0</v>
      </c>
      <c r="N138" s="34">
        <v>0</v>
      </c>
      <c r="O138" s="34">
        <v>0</v>
      </c>
      <c r="P138" s="31">
        <v>0</v>
      </c>
      <c r="Q138" s="31">
        <v>0</v>
      </c>
      <c r="R138" s="30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</row>
    <row r="139" spans="1:31" ht="16.8" x14ac:dyDescent="0.3">
      <c r="A139" s="142"/>
      <c r="B139" s="33" t="s">
        <v>52</v>
      </c>
      <c r="C139" s="53" t="s">
        <v>63</v>
      </c>
      <c r="D139" s="40">
        <v>1</v>
      </c>
      <c r="E139" s="34"/>
      <c r="F139" s="34">
        <v>2</v>
      </c>
      <c r="G139" s="34">
        <v>2</v>
      </c>
      <c r="H139" s="34">
        <v>2</v>
      </c>
      <c r="I139" s="34">
        <v>2</v>
      </c>
      <c r="J139" s="34">
        <v>2</v>
      </c>
      <c r="K139" s="60">
        <v>1</v>
      </c>
      <c r="L139" s="25">
        <v>0</v>
      </c>
      <c r="M139" s="55">
        <v>0</v>
      </c>
      <c r="N139" s="34">
        <v>0</v>
      </c>
      <c r="O139" s="34">
        <v>0</v>
      </c>
      <c r="P139" s="31">
        <v>0</v>
      </c>
      <c r="Q139" s="31">
        <v>0</v>
      </c>
      <c r="R139" s="30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</row>
    <row r="140" spans="1:31" ht="16.8" x14ac:dyDescent="0.3">
      <c r="A140" s="142"/>
      <c r="B140" s="33" t="s">
        <v>53</v>
      </c>
      <c r="C140" s="53" t="s">
        <v>46</v>
      </c>
      <c r="D140" s="40">
        <v>2</v>
      </c>
      <c r="E140" s="34"/>
      <c r="F140" s="34">
        <v>2</v>
      </c>
      <c r="G140" s="34">
        <v>2</v>
      </c>
      <c r="H140" s="34">
        <v>2</v>
      </c>
      <c r="I140" s="34">
        <v>2</v>
      </c>
      <c r="J140" s="34">
        <v>2</v>
      </c>
      <c r="K140" s="34">
        <v>2</v>
      </c>
      <c r="L140" s="25">
        <v>0</v>
      </c>
      <c r="M140" s="34">
        <v>0</v>
      </c>
      <c r="N140" s="34">
        <v>0</v>
      </c>
      <c r="O140" s="34">
        <v>0</v>
      </c>
      <c r="P140" s="31">
        <v>0</v>
      </c>
      <c r="Q140" s="31">
        <v>0</v>
      </c>
      <c r="R140" s="30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</row>
    <row r="141" spans="1:31" ht="16.8" x14ac:dyDescent="0.3">
      <c r="A141" s="142"/>
      <c r="B141" s="33" t="s">
        <v>54</v>
      </c>
      <c r="C141" s="53" t="s">
        <v>41</v>
      </c>
      <c r="D141" s="40">
        <v>2</v>
      </c>
      <c r="E141" s="34"/>
      <c r="F141" s="34">
        <v>2</v>
      </c>
      <c r="G141" s="34">
        <v>2</v>
      </c>
      <c r="H141" s="34">
        <v>2</v>
      </c>
      <c r="I141" s="34">
        <v>2</v>
      </c>
      <c r="J141" s="34">
        <v>2</v>
      </c>
      <c r="K141" s="34">
        <v>2</v>
      </c>
      <c r="L141" s="25">
        <v>0</v>
      </c>
      <c r="M141" s="34">
        <v>0</v>
      </c>
      <c r="N141" s="34">
        <v>0</v>
      </c>
      <c r="O141" s="34">
        <v>0</v>
      </c>
      <c r="P141" s="31">
        <v>0</v>
      </c>
      <c r="Q141" s="31">
        <v>0</v>
      </c>
      <c r="R141" s="30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</row>
    <row r="142" spans="1:31" ht="16.8" x14ac:dyDescent="0.3">
      <c r="A142" s="142"/>
      <c r="B142" s="33" t="s">
        <v>55</v>
      </c>
      <c r="C142" s="53" t="s">
        <v>40</v>
      </c>
      <c r="D142" s="40">
        <v>3</v>
      </c>
      <c r="E142" s="34"/>
      <c r="F142" s="34">
        <v>3</v>
      </c>
      <c r="G142" s="34">
        <v>3</v>
      </c>
      <c r="H142" s="34">
        <v>3</v>
      </c>
      <c r="I142" s="34">
        <v>3</v>
      </c>
      <c r="J142" s="34">
        <v>3</v>
      </c>
      <c r="K142" s="34">
        <v>3</v>
      </c>
      <c r="L142" s="25">
        <v>0</v>
      </c>
      <c r="M142" s="30">
        <v>0</v>
      </c>
      <c r="N142" s="34">
        <v>0</v>
      </c>
      <c r="O142" s="34">
        <v>0</v>
      </c>
      <c r="P142" s="31">
        <v>0</v>
      </c>
      <c r="Q142" s="31">
        <v>0</v>
      </c>
      <c r="R142" s="30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</row>
    <row r="143" spans="1:31" ht="16.8" x14ac:dyDescent="0.3">
      <c r="A143" s="142"/>
      <c r="B143" s="33" t="s">
        <v>56</v>
      </c>
      <c r="C143" s="53" t="s">
        <v>42</v>
      </c>
      <c r="D143" s="40">
        <v>3</v>
      </c>
      <c r="E143" s="34"/>
      <c r="F143" s="34">
        <v>3</v>
      </c>
      <c r="G143" s="34">
        <v>3</v>
      </c>
      <c r="H143" s="34">
        <v>3</v>
      </c>
      <c r="I143" s="34">
        <v>3</v>
      </c>
      <c r="J143" s="34">
        <v>3</v>
      </c>
      <c r="K143" s="34">
        <v>3</v>
      </c>
      <c r="L143" s="25">
        <v>0</v>
      </c>
      <c r="M143" s="30">
        <v>0</v>
      </c>
      <c r="N143" s="34">
        <v>0</v>
      </c>
      <c r="O143" s="34">
        <v>0</v>
      </c>
      <c r="P143" s="31">
        <v>0</v>
      </c>
      <c r="Q143" s="31">
        <v>0</v>
      </c>
      <c r="R143" s="30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</row>
    <row r="144" spans="1:31" ht="16.8" x14ac:dyDescent="0.3">
      <c r="A144" s="142"/>
      <c r="B144" s="33" t="s">
        <v>57</v>
      </c>
      <c r="C144" s="53" t="s">
        <v>46</v>
      </c>
      <c r="D144" s="36">
        <v>2</v>
      </c>
      <c r="E144" s="34"/>
      <c r="F144" s="34">
        <v>2</v>
      </c>
      <c r="G144" s="34">
        <v>2</v>
      </c>
      <c r="H144" s="34">
        <v>2</v>
      </c>
      <c r="I144" s="34">
        <v>2</v>
      </c>
      <c r="J144" s="34">
        <v>2</v>
      </c>
      <c r="K144" s="34">
        <v>2</v>
      </c>
      <c r="L144" s="25">
        <v>0</v>
      </c>
      <c r="M144" s="30">
        <v>0</v>
      </c>
      <c r="N144" s="34">
        <v>0</v>
      </c>
      <c r="O144" s="34">
        <v>0</v>
      </c>
      <c r="P144" s="31">
        <v>0</v>
      </c>
      <c r="Q144" s="31">
        <v>0</v>
      </c>
      <c r="R144" s="30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</row>
    <row r="145" spans="1:31" ht="16.8" x14ac:dyDescent="0.3">
      <c r="A145" s="142"/>
      <c r="B145" s="33" t="s">
        <v>58</v>
      </c>
      <c r="C145" s="53" t="s">
        <v>44</v>
      </c>
      <c r="D145" s="36">
        <v>3</v>
      </c>
      <c r="E145" s="34"/>
      <c r="F145" s="34">
        <v>2</v>
      </c>
      <c r="G145" s="34">
        <v>2</v>
      </c>
      <c r="H145" s="34">
        <v>2</v>
      </c>
      <c r="I145" s="34">
        <v>2</v>
      </c>
      <c r="J145" s="34">
        <v>2</v>
      </c>
      <c r="K145" s="61">
        <v>3</v>
      </c>
      <c r="L145" s="25">
        <v>0</v>
      </c>
      <c r="M145" s="30">
        <v>0</v>
      </c>
      <c r="N145" s="34">
        <v>0</v>
      </c>
      <c r="O145" s="34">
        <v>0</v>
      </c>
      <c r="P145" s="31">
        <v>0</v>
      </c>
      <c r="Q145" s="31">
        <v>0</v>
      </c>
      <c r="R145" s="30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0</v>
      </c>
      <c r="AD145" s="26">
        <v>0</v>
      </c>
      <c r="AE145" s="26">
        <v>0</v>
      </c>
    </row>
    <row r="146" spans="1:31" ht="16.8" x14ac:dyDescent="0.3">
      <c r="A146" s="142"/>
      <c r="B146" s="33" t="s">
        <v>59</v>
      </c>
      <c r="C146" s="53" t="s">
        <v>41</v>
      </c>
      <c r="D146" s="36">
        <v>4</v>
      </c>
      <c r="E146" s="34"/>
      <c r="F146" s="34">
        <v>2</v>
      </c>
      <c r="G146" s="34">
        <v>2</v>
      </c>
      <c r="H146" s="34">
        <v>2</v>
      </c>
      <c r="I146" s="34">
        <v>2</v>
      </c>
      <c r="J146" s="34">
        <v>2</v>
      </c>
      <c r="K146" s="61">
        <v>4</v>
      </c>
      <c r="L146" s="25">
        <v>0</v>
      </c>
      <c r="M146" s="34">
        <v>0</v>
      </c>
      <c r="N146" s="34">
        <v>0</v>
      </c>
      <c r="O146" s="34">
        <v>0</v>
      </c>
      <c r="P146" s="31">
        <v>0</v>
      </c>
      <c r="Q146" s="31">
        <v>0</v>
      </c>
      <c r="R146" s="30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</row>
    <row r="147" spans="1:31" ht="16.8" x14ac:dyDescent="0.3">
      <c r="A147" s="142"/>
      <c r="B147" s="33" t="s">
        <v>32</v>
      </c>
      <c r="C147" s="26" t="s">
        <v>25</v>
      </c>
      <c r="D147" s="36">
        <v>8</v>
      </c>
      <c r="E147" s="57"/>
      <c r="F147" s="34">
        <v>10</v>
      </c>
      <c r="G147" s="34">
        <v>10</v>
      </c>
      <c r="H147" s="34">
        <v>10</v>
      </c>
      <c r="I147" s="34">
        <v>10</v>
      </c>
      <c r="J147" s="34">
        <v>10</v>
      </c>
      <c r="K147" s="34">
        <v>10</v>
      </c>
      <c r="L147" s="60">
        <v>8</v>
      </c>
      <c r="M147" s="25">
        <v>0</v>
      </c>
      <c r="N147" s="55">
        <v>0</v>
      </c>
      <c r="O147" s="34">
        <v>0</v>
      </c>
      <c r="P147" s="31">
        <v>0</v>
      </c>
      <c r="Q147" s="30">
        <v>0</v>
      </c>
      <c r="R147" s="30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</row>
    <row r="148" spans="1:31" ht="16.8" x14ac:dyDescent="0.3">
      <c r="A148" s="130" t="s">
        <v>34</v>
      </c>
      <c r="B148" s="33" t="s">
        <v>48</v>
      </c>
      <c r="C148" s="24" t="s">
        <v>41</v>
      </c>
      <c r="D148" s="62">
        <v>10</v>
      </c>
      <c r="E148" s="24"/>
      <c r="F148" s="24">
        <v>10</v>
      </c>
      <c r="G148" s="24">
        <v>10</v>
      </c>
      <c r="H148" s="24">
        <v>10</v>
      </c>
      <c r="I148" s="24">
        <v>10</v>
      </c>
      <c r="J148" s="24">
        <v>10</v>
      </c>
      <c r="K148" s="24">
        <v>10</v>
      </c>
      <c r="L148" s="24">
        <v>10</v>
      </c>
      <c r="M148" s="34">
        <v>5</v>
      </c>
      <c r="N148" s="34">
        <v>5</v>
      </c>
      <c r="O148" s="25">
        <v>0</v>
      </c>
      <c r="P148" s="30">
        <v>0</v>
      </c>
      <c r="Q148" s="30">
        <v>0</v>
      </c>
      <c r="R148" s="34">
        <v>0</v>
      </c>
      <c r="S148" s="31">
        <v>0</v>
      </c>
      <c r="T148" s="31">
        <v>0</v>
      </c>
      <c r="U148" s="30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</row>
    <row r="149" spans="1:31" ht="16.8" x14ac:dyDescent="0.3">
      <c r="A149" s="130"/>
      <c r="B149" s="33" t="s">
        <v>30</v>
      </c>
      <c r="C149" s="24" t="s">
        <v>46</v>
      </c>
      <c r="D149" s="62">
        <v>10</v>
      </c>
      <c r="E149" s="24"/>
      <c r="F149" s="24">
        <v>10</v>
      </c>
      <c r="G149" s="24">
        <v>10</v>
      </c>
      <c r="H149" s="24">
        <v>10</v>
      </c>
      <c r="I149" s="24">
        <v>10</v>
      </c>
      <c r="J149" s="24">
        <v>10</v>
      </c>
      <c r="K149" s="24">
        <v>10</v>
      </c>
      <c r="L149" s="24">
        <v>10</v>
      </c>
      <c r="M149" s="34">
        <v>5</v>
      </c>
      <c r="N149" s="34">
        <v>5</v>
      </c>
      <c r="O149" s="25">
        <v>0</v>
      </c>
      <c r="P149" s="56">
        <v>0</v>
      </c>
      <c r="Q149" s="34">
        <v>0</v>
      </c>
      <c r="R149" s="30">
        <v>0</v>
      </c>
      <c r="S149" s="31">
        <v>0</v>
      </c>
      <c r="T149" s="31">
        <v>0</v>
      </c>
      <c r="U149" s="30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</row>
    <row r="150" spans="1:31" ht="16.8" x14ac:dyDescent="0.3">
      <c r="A150" s="130"/>
      <c r="B150" s="33" t="s">
        <v>31</v>
      </c>
      <c r="C150" s="24" t="s">
        <v>42</v>
      </c>
      <c r="D150" s="62">
        <v>2</v>
      </c>
      <c r="E150" s="24"/>
      <c r="F150" s="24">
        <v>4</v>
      </c>
      <c r="G150" s="24">
        <v>4</v>
      </c>
      <c r="H150" s="24">
        <v>4</v>
      </c>
      <c r="I150" s="24">
        <v>4</v>
      </c>
      <c r="J150" s="24">
        <v>4</v>
      </c>
      <c r="K150" s="24">
        <v>4</v>
      </c>
      <c r="L150" s="24">
        <v>4</v>
      </c>
      <c r="M150" s="60">
        <v>2</v>
      </c>
      <c r="N150" s="25">
        <v>0</v>
      </c>
      <c r="O150" s="34">
        <v>0</v>
      </c>
      <c r="P150" s="56">
        <v>0</v>
      </c>
      <c r="Q150" s="34">
        <v>0</v>
      </c>
      <c r="R150" s="34">
        <v>0</v>
      </c>
      <c r="S150" s="30">
        <v>0</v>
      </c>
      <c r="T150" s="31">
        <v>0</v>
      </c>
      <c r="U150" s="30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</row>
    <row r="151" spans="1:31" ht="16.8" x14ac:dyDescent="0.3">
      <c r="A151" s="130"/>
      <c r="B151" s="33" t="s">
        <v>49</v>
      </c>
      <c r="C151" s="24" t="s">
        <v>44</v>
      </c>
      <c r="D151" s="62">
        <v>8</v>
      </c>
      <c r="E151" s="24"/>
      <c r="F151" s="24">
        <v>12</v>
      </c>
      <c r="G151" s="24">
        <v>12</v>
      </c>
      <c r="H151" s="24">
        <v>12</v>
      </c>
      <c r="I151" s="24">
        <v>12</v>
      </c>
      <c r="J151" s="24">
        <v>12</v>
      </c>
      <c r="K151" s="24">
        <v>12</v>
      </c>
      <c r="L151" s="24">
        <v>12</v>
      </c>
      <c r="M151" s="24">
        <v>4</v>
      </c>
      <c r="N151" s="24">
        <v>4</v>
      </c>
      <c r="O151" s="60">
        <v>0</v>
      </c>
      <c r="P151" s="25">
        <v>0</v>
      </c>
      <c r="Q151" s="30">
        <v>0</v>
      </c>
      <c r="R151" s="34">
        <v>0</v>
      </c>
      <c r="S151" s="31">
        <v>0</v>
      </c>
      <c r="T151" s="31">
        <v>0</v>
      </c>
      <c r="U151" s="30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</row>
    <row r="152" spans="1:31" ht="16.8" x14ac:dyDescent="0.3">
      <c r="A152" s="130"/>
      <c r="B152" s="33" t="s">
        <v>50</v>
      </c>
      <c r="C152" s="24" t="s">
        <v>42</v>
      </c>
      <c r="D152" s="62">
        <v>6</v>
      </c>
      <c r="E152" s="24"/>
      <c r="F152" s="24">
        <v>6</v>
      </c>
      <c r="G152" s="24">
        <v>6</v>
      </c>
      <c r="H152" s="24">
        <v>6</v>
      </c>
      <c r="I152" s="24">
        <v>6</v>
      </c>
      <c r="J152" s="24">
        <v>6</v>
      </c>
      <c r="K152" s="24">
        <v>6</v>
      </c>
      <c r="L152" s="24">
        <v>6</v>
      </c>
      <c r="M152" s="24">
        <v>6</v>
      </c>
      <c r="N152" s="24">
        <v>3</v>
      </c>
      <c r="O152" s="24">
        <v>3</v>
      </c>
      <c r="P152" s="25">
        <v>0</v>
      </c>
      <c r="Q152" s="30">
        <v>0</v>
      </c>
      <c r="R152" s="34">
        <v>0</v>
      </c>
      <c r="S152" s="31">
        <v>0</v>
      </c>
      <c r="T152" s="34">
        <v>0</v>
      </c>
      <c r="U152" s="34">
        <v>0</v>
      </c>
      <c r="V152" s="31">
        <v>0</v>
      </c>
      <c r="W152" s="30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</row>
    <row r="153" spans="1:31" ht="16.8" x14ac:dyDescent="0.3">
      <c r="A153" s="130"/>
      <c r="B153" s="33" t="s">
        <v>51</v>
      </c>
      <c r="C153" s="24" t="s">
        <v>64</v>
      </c>
      <c r="D153" s="62">
        <v>22</v>
      </c>
      <c r="E153" s="24"/>
      <c r="F153" s="24">
        <v>20</v>
      </c>
      <c r="G153" s="24">
        <v>20</v>
      </c>
      <c r="H153" s="24">
        <v>20</v>
      </c>
      <c r="I153" s="24">
        <v>20</v>
      </c>
      <c r="J153" s="24">
        <v>20</v>
      </c>
      <c r="K153" s="24">
        <v>20</v>
      </c>
      <c r="L153" s="24">
        <v>20</v>
      </c>
      <c r="M153" s="24">
        <v>20</v>
      </c>
      <c r="N153" s="24">
        <v>20</v>
      </c>
      <c r="O153" s="24">
        <v>7</v>
      </c>
      <c r="P153" s="24">
        <v>7</v>
      </c>
      <c r="Q153" s="61">
        <v>8</v>
      </c>
      <c r="R153" s="25">
        <v>0</v>
      </c>
      <c r="S153" s="34">
        <v>0</v>
      </c>
      <c r="T153" s="34">
        <v>0</v>
      </c>
      <c r="U153" s="34">
        <v>0</v>
      </c>
      <c r="V153" s="31">
        <v>0</v>
      </c>
      <c r="W153" s="30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</row>
    <row r="154" spans="1:31" ht="16.8" x14ac:dyDescent="0.3">
      <c r="A154" s="130"/>
      <c r="B154" s="33" t="s">
        <v>52</v>
      </c>
      <c r="C154" s="24" t="s">
        <v>40</v>
      </c>
      <c r="D154" s="62">
        <v>10</v>
      </c>
      <c r="E154" s="24"/>
      <c r="F154" s="24">
        <v>10</v>
      </c>
      <c r="G154" s="24">
        <v>10</v>
      </c>
      <c r="H154" s="24">
        <v>10</v>
      </c>
      <c r="I154" s="24">
        <v>10</v>
      </c>
      <c r="J154" s="24">
        <v>10</v>
      </c>
      <c r="K154" s="24">
        <v>10</v>
      </c>
      <c r="L154" s="24">
        <v>10</v>
      </c>
      <c r="M154" s="24">
        <v>4</v>
      </c>
      <c r="N154" s="24">
        <v>3</v>
      </c>
      <c r="O154" s="24">
        <v>3</v>
      </c>
      <c r="P154" s="25">
        <v>0</v>
      </c>
      <c r="Q154" s="34">
        <v>0</v>
      </c>
      <c r="R154" s="34">
        <v>0</v>
      </c>
      <c r="S154" s="30">
        <v>0</v>
      </c>
      <c r="T154" s="30">
        <v>0</v>
      </c>
      <c r="U154" s="30">
        <v>0</v>
      </c>
      <c r="V154" s="31">
        <v>0</v>
      </c>
      <c r="W154" s="30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</row>
    <row r="155" spans="1:31" ht="16.8" x14ac:dyDescent="0.3">
      <c r="A155" s="130"/>
      <c r="B155" s="33" t="s">
        <v>53</v>
      </c>
      <c r="C155" s="24" t="s">
        <v>44</v>
      </c>
      <c r="D155" s="62">
        <v>12</v>
      </c>
      <c r="E155" s="24"/>
      <c r="F155" s="24">
        <v>12</v>
      </c>
      <c r="G155" s="24">
        <v>12</v>
      </c>
      <c r="H155" s="24">
        <v>12</v>
      </c>
      <c r="I155" s="24">
        <v>12</v>
      </c>
      <c r="J155" s="24">
        <v>12</v>
      </c>
      <c r="K155" s="24">
        <v>12</v>
      </c>
      <c r="L155" s="24">
        <v>12</v>
      </c>
      <c r="M155" s="24">
        <v>12</v>
      </c>
      <c r="N155" s="24">
        <v>12</v>
      </c>
      <c r="O155" s="24">
        <v>12</v>
      </c>
      <c r="P155" s="24">
        <v>6</v>
      </c>
      <c r="Q155" s="34">
        <v>6</v>
      </c>
      <c r="R155" s="25">
        <v>0</v>
      </c>
      <c r="S155" s="30">
        <v>0</v>
      </c>
      <c r="T155" s="34">
        <v>0</v>
      </c>
      <c r="U155" s="34">
        <v>0</v>
      </c>
      <c r="V155" s="31">
        <v>0</v>
      </c>
      <c r="W155" s="30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</row>
    <row r="156" spans="1:31" ht="16.8" x14ac:dyDescent="0.3">
      <c r="A156" s="130"/>
      <c r="B156" s="33" t="s">
        <v>54</v>
      </c>
      <c r="C156" s="24" t="s">
        <v>40</v>
      </c>
      <c r="D156" s="62">
        <v>10</v>
      </c>
      <c r="E156" s="24"/>
      <c r="F156" s="24">
        <v>10</v>
      </c>
      <c r="G156" s="24">
        <v>10</v>
      </c>
      <c r="H156" s="24">
        <v>10</v>
      </c>
      <c r="I156" s="24">
        <v>10</v>
      </c>
      <c r="J156" s="24">
        <v>10</v>
      </c>
      <c r="K156" s="24">
        <v>10</v>
      </c>
      <c r="L156" s="24">
        <v>10</v>
      </c>
      <c r="M156" s="24">
        <v>10</v>
      </c>
      <c r="N156" s="24">
        <v>10</v>
      </c>
      <c r="O156" s="24">
        <v>10</v>
      </c>
      <c r="P156" s="24">
        <v>5</v>
      </c>
      <c r="Q156" s="24">
        <v>5</v>
      </c>
      <c r="R156" s="25">
        <v>0</v>
      </c>
      <c r="S156" s="34">
        <v>0</v>
      </c>
      <c r="T156" s="30">
        <v>0</v>
      </c>
      <c r="U156" s="30">
        <v>0</v>
      </c>
      <c r="V156" s="30">
        <v>0</v>
      </c>
      <c r="W156" s="30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</row>
    <row r="157" spans="1:31" ht="16.8" x14ac:dyDescent="0.3">
      <c r="A157" s="130"/>
      <c r="B157" s="33" t="s">
        <v>55</v>
      </c>
      <c r="C157" s="24" t="s">
        <v>42</v>
      </c>
      <c r="D157" s="62">
        <v>16</v>
      </c>
      <c r="E157" s="24"/>
      <c r="F157" s="24">
        <v>14</v>
      </c>
      <c r="G157" s="24">
        <v>14</v>
      </c>
      <c r="H157" s="24">
        <v>14</v>
      </c>
      <c r="I157" s="24">
        <v>14</v>
      </c>
      <c r="J157" s="24">
        <v>14</v>
      </c>
      <c r="K157" s="24">
        <v>14</v>
      </c>
      <c r="L157" s="24">
        <v>14</v>
      </c>
      <c r="M157" s="24">
        <v>14</v>
      </c>
      <c r="N157" s="24">
        <v>14</v>
      </c>
      <c r="O157" s="24">
        <v>14</v>
      </c>
      <c r="P157" s="24">
        <v>5</v>
      </c>
      <c r="Q157" s="24">
        <v>5</v>
      </c>
      <c r="R157" s="61">
        <v>6</v>
      </c>
      <c r="S157" s="25">
        <v>0</v>
      </c>
      <c r="T157" s="34">
        <v>0</v>
      </c>
      <c r="U157" s="30">
        <v>0</v>
      </c>
      <c r="V157" s="31">
        <v>0</v>
      </c>
      <c r="W157" s="30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</row>
    <row r="158" spans="1:31" ht="16.8" x14ac:dyDescent="0.3">
      <c r="A158" s="130"/>
      <c r="B158" s="33" t="s">
        <v>56</v>
      </c>
      <c r="C158" s="24" t="s">
        <v>45</v>
      </c>
      <c r="D158" s="63">
        <v>16</v>
      </c>
      <c r="E158" s="24"/>
      <c r="F158" s="24">
        <v>16</v>
      </c>
      <c r="G158" s="24">
        <v>16</v>
      </c>
      <c r="H158" s="24">
        <v>16</v>
      </c>
      <c r="I158" s="24">
        <v>16</v>
      </c>
      <c r="J158" s="24">
        <v>16</v>
      </c>
      <c r="K158" s="24">
        <v>16</v>
      </c>
      <c r="L158" s="24">
        <v>16</v>
      </c>
      <c r="M158" s="24">
        <v>16</v>
      </c>
      <c r="N158" s="24">
        <v>16</v>
      </c>
      <c r="O158" s="24">
        <v>16</v>
      </c>
      <c r="P158" s="24">
        <v>16</v>
      </c>
      <c r="Q158" s="24">
        <v>16</v>
      </c>
      <c r="R158" s="24">
        <v>16</v>
      </c>
      <c r="S158" s="30">
        <v>8</v>
      </c>
      <c r="T158" s="34">
        <v>8</v>
      </c>
      <c r="U158" s="25">
        <v>0</v>
      </c>
      <c r="V158" s="31">
        <v>0</v>
      </c>
      <c r="W158" s="30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</row>
    <row r="159" spans="1:31" ht="16.8" x14ac:dyDescent="0.3">
      <c r="A159" s="130"/>
      <c r="B159" s="33" t="s">
        <v>57</v>
      </c>
      <c r="C159" s="24" t="s">
        <v>40</v>
      </c>
      <c r="D159" s="64">
        <v>8</v>
      </c>
      <c r="E159" s="24"/>
      <c r="F159" s="24">
        <v>10</v>
      </c>
      <c r="G159" s="24">
        <v>10</v>
      </c>
      <c r="H159" s="24">
        <v>10</v>
      </c>
      <c r="I159" s="24">
        <v>10</v>
      </c>
      <c r="J159" s="24">
        <v>10</v>
      </c>
      <c r="K159" s="24">
        <v>10</v>
      </c>
      <c r="L159" s="24">
        <v>10</v>
      </c>
      <c r="M159" s="24">
        <v>10</v>
      </c>
      <c r="N159" s="24">
        <v>10</v>
      </c>
      <c r="O159" s="24">
        <v>10</v>
      </c>
      <c r="P159" s="24">
        <v>10</v>
      </c>
      <c r="Q159" s="24">
        <v>10</v>
      </c>
      <c r="R159" s="24">
        <v>5</v>
      </c>
      <c r="S159" s="60">
        <v>3</v>
      </c>
      <c r="T159" s="25">
        <v>0</v>
      </c>
      <c r="U159" s="34">
        <v>0</v>
      </c>
      <c r="V159" s="56">
        <v>0</v>
      </c>
      <c r="W159" s="30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</row>
    <row r="160" spans="1:31" ht="16.8" x14ac:dyDescent="0.3">
      <c r="A160" s="130"/>
      <c r="B160" s="33" t="s">
        <v>58</v>
      </c>
      <c r="C160" s="24" t="s">
        <v>68</v>
      </c>
      <c r="D160" s="64">
        <v>29</v>
      </c>
      <c r="E160" s="24"/>
      <c r="F160" s="24">
        <v>26</v>
      </c>
      <c r="G160" s="24">
        <v>26</v>
      </c>
      <c r="H160" s="24">
        <v>26</v>
      </c>
      <c r="I160" s="24">
        <v>26</v>
      </c>
      <c r="J160" s="24">
        <v>26</v>
      </c>
      <c r="K160" s="24">
        <v>26</v>
      </c>
      <c r="L160" s="24">
        <v>26</v>
      </c>
      <c r="M160" s="24">
        <v>26</v>
      </c>
      <c r="N160" s="24">
        <v>26</v>
      </c>
      <c r="O160" s="24">
        <v>26</v>
      </c>
      <c r="P160" s="24">
        <v>26</v>
      </c>
      <c r="Q160" s="24">
        <v>26</v>
      </c>
      <c r="R160" s="24">
        <v>6</v>
      </c>
      <c r="S160" s="24">
        <v>5</v>
      </c>
      <c r="T160" s="24">
        <v>5</v>
      </c>
      <c r="U160" s="24">
        <v>5</v>
      </c>
      <c r="V160" s="61">
        <v>8</v>
      </c>
      <c r="W160" s="25">
        <v>0</v>
      </c>
      <c r="X160" s="26">
        <v>0</v>
      </c>
      <c r="Y160" s="26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</row>
    <row r="161" spans="1:31" ht="16.8" x14ac:dyDescent="0.3">
      <c r="A161" s="130"/>
      <c r="B161" s="33" t="s">
        <v>59</v>
      </c>
      <c r="C161" s="24" t="s">
        <v>69</v>
      </c>
      <c r="D161" s="64">
        <v>34</v>
      </c>
      <c r="E161" s="24"/>
      <c r="F161" s="24">
        <v>30</v>
      </c>
      <c r="G161" s="24">
        <v>30</v>
      </c>
      <c r="H161" s="24">
        <v>30</v>
      </c>
      <c r="I161" s="24">
        <v>30</v>
      </c>
      <c r="J161" s="24">
        <v>30</v>
      </c>
      <c r="K161" s="24">
        <v>30</v>
      </c>
      <c r="L161" s="24">
        <v>30</v>
      </c>
      <c r="M161" s="24">
        <v>30</v>
      </c>
      <c r="N161" s="24">
        <v>30</v>
      </c>
      <c r="O161" s="24">
        <v>30</v>
      </c>
      <c r="P161" s="24">
        <v>30</v>
      </c>
      <c r="Q161" s="24">
        <v>30</v>
      </c>
      <c r="R161" s="24">
        <v>30</v>
      </c>
      <c r="S161" s="24">
        <v>8</v>
      </c>
      <c r="T161" s="24">
        <v>8</v>
      </c>
      <c r="U161" s="24">
        <v>8</v>
      </c>
      <c r="V161" s="61">
        <v>10</v>
      </c>
      <c r="W161" s="25">
        <v>0</v>
      </c>
      <c r="X161" s="26">
        <v>0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</row>
    <row r="162" spans="1:31" ht="16.8" x14ac:dyDescent="0.3">
      <c r="A162" s="130"/>
      <c r="B162" s="33" t="s">
        <v>65</v>
      </c>
      <c r="C162" s="38" t="s">
        <v>25</v>
      </c>
      <c r="D162" s="64">
        <v>7</v>
      </c>
      <c r="E162" s="24"/>
      <c r="F162" s="24">
        <v>10</v>
      </c>
      <c r="G162" s="24">
        <v>10</v>
      </c>
      <c r="H162" s="24">
        <v>10</v>
      </c>
      <c r="I162" s="24">
        <v>10</v>
      </c>
      <c r="J162" s="24">
        <v>10</v>
      </c>
      <c r="K162" s="24">
        <v>10</v>
      </c>
      <c r="L162" s="24">
        <v>10</v>
      </c>
      <c r="M162" s="24">
        <v>10</v>
      </c>
      <c r="N162" s="24">
        <v>10</v>
      </c>
      <c r="O162" s="24">
        <v>10</v>
      </c>
      <c r="P162" s="24">
        <v>10</v>
      </c>
      <c r="Q162" s="24">
        <v>10</v>
      </c>
      <c r="R162" s="24">
        <v>10</v>
      </c>
      <c r="S162" s="24">
        <v>10</v>
      </c>
      <c r="T162" s="24">
        <v>10</v>
      </c>
      <c r="U162" s="24">
        <v>10</v>
      </c>
      <c r="V162" s="24">
        <v>10</v>
      </c>
      <c r="W162" s="60">
        <v>7</v>
      </c>
      <c r="X162" s="25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</row>
    <row r="163" spans="1:31" ht="16.8" x14ac:dyDescent="0.3">
      <c r="A163" s="130" t="s">
        <v>35</v>
      </c>
      <c r="B163" s="33" t="s">
        <v>48</v>
      </c>
      <c r="C163" s="24" t="s">
        <v>60</v>
      </c>
      <c r="D163" s="63">
        <v>1</v>
      </c>
      <c r="E163" s="58"/>
      <c r="F163" s="34">
        <v>1</v>
      </c>
      <c r="G163" s="34">
        <v>1</v>
      </c>
      <c r="H163" s="34">
        <v>1</v>
      </c>
      <c r="I163" s="34">
        <v>1</v>
      </c>
      <c r="J163" s="34">
        <v>1</v>
      </c>
      <c r="K163" s="34">
        <v>1</v>
      </c>
      <c r="L163" s="34">
        <v>1</v>
      </c>
      <c r="M163" s="34">
        <v>1</v>
      </c>
      <c r="N163" s="34">
        <v>1</v>
      </c>
      <c r="O163" s="34">
        <v>1</v>
      </c>
      <c r="P163" s="34">
        <v>1</v>
      </c>
      <c r="Q163" s="34">
        <v>1</v>
      </c>
      <c r="R163" s="34">
        <v>1</v>
      </c>
      <c r="S163" s="34">
        <v>1</v>
      </c>
      <c r="T163" s="31">
        <v>1</v>
      </c>
      <c r="U163" s="30">
        <v>1</v>
      </c>
      <c r="V163" s="26">
        <v>1</v>
      </c>
      <c r="W163" s="26">
        <v>1</v>
      </c>
      <c r="X163" s="26">
        <v>1</v>
      </c>
      <c r="Y163" s="25">
        <v>0</v>
      </c>
      <c r="Z163" s="26">
        <v>0</v>
      </c>
      <c r="AA163" s="30">
        <v>0</v>
      </c>
      <c r="AB163" s="26">
        <v>0</v>
      </c>
      <c r="AC163" s="26">
        <v>0</v>
      </c>
      <c r="AD163" s="26">
        <v>0</v>
      </c>
      <c r="AE163" s="26">
        <v>0</v>
      </c>
    </row>
    <row r="164" spans="1:31" ht="16.8" x14ac:dyDescent="0.3">
      <c r="A164" s="130"/>
      <c r="B164" s="33" t="s">
        <v>30</v>
      </c>
      <c r="C164" s="24" t="s">
        <v>40</v>
      </c>
      <c r="D164" s="63">
        <v>1</v>
      </c>
      <c r="E164" s="34"/>
      <c r="F164" s="34">
        <v>1</v>
      </c>
      <c r="G164" s="34">
        <v>1</v>
      </c>
      <c r="H164" s="34">
        <v>1</v>
      </c>
      <c r="I164" s="34">
        <v>1</v>
      </c>
      <c r="J164" s="34">
        <v>1</v>
      </c>
      <c r="K164" s="34">
        <v>1</v>
      </c>
      <c r="L164" s="34">
        <v>1</v>
      </c>
      <c r="M164" s="34">
        <v>1</v>
      </c>
      <c r="N164" s="34">
        <v>1</v>
      </c>
      <c r="O164" s="34">
        <v>1</v>
      </c>
      <c r="P164" s="34">
        <v>1</v>
      </c>
      <c r="Q164" s="34">
        <v>1</v>
      </c>
      <c r="R164" s="34">
        <v>1</v>
      </c>
      <c r="S164" s="34">
        <v>1</v>
      </c>
      <c r="T164" s="34">
        <v>1</v>
      </c>
      <c r="U164" s="34">
        <v>1</v>
      </c>
      <c r="V164" s="31">
        <v>1</v>
      </c>
      <c r="W164" s="30">
        <v>1</v>
      </c>
      <c r="X164" s="26">
        <v>1</v>
      </c>
      <c r="Y164" s="25">
        <v>0</v>
      </c>
      <c r="Z164" s="26">
        <v>0</v>
      </c>
      <c r="AA164" s="30">
        <v>0</v>
      </c>
      <c r="AB164" s="26">
        <v>0</v>
      </c>
      <c r="AC164" s="26">
        <v>0</v>
      </c>
      <c r="AD164" s="26">
        <v>0</v>
      </c>
      <c r="AE164" s="26">
        <v>0</v>
      </c>
    </row>
    <row r="165" spans="1:31" ht="16.8" x14ac:dyDescent="0.3">
      <c r="A165" s="130"/>
      <c r="B165" s="33" t="s">
        <v>31</v>
      </c>
      <c r="C165" s="24" t="s">
        <v>61</v>
      </c>
      <c r="D165" s="63">
        <v>1</v>
      </c>
      <c r="E165" s="34"/>
      <c r="F165" s="34">
        <v>1</v>
      </c>
      <c r="G165" s="34">
        <v>1</v>
      </c>
      <c r="H165" s="34">
        <v>1</v>
      </c>
      <c r="I165" s="34">
        <v>1</v>
      </c>
      <c r="J165" s="34">
        <v>1</v>
      </c>
      <c r="K165" s="34">
        <v>1</v>
      </c>
      <c r="L165" s="34">
        <v>1</v>
      </c>
      <c r="M165" s="34">
        <v>1</v>
      </c>
      <c r="N165" s="34">
        <v>1</v>
      </c>
      <c r="O165" s="34">
        <v>1</v>
      </c>
      <c r="P165" s="34">
        <v>1</v>
      </c>
      <c r="Q165" s="34">
        <v>1</v>
      </c>
      <c r="R165" s="34">
        <v>1</v>
      </c>
      <c r="S165" s="34">
        <v>1</v>
      </c>
      <c r="T165" s="34">
        <v>1</v>
      </c>
      <c r="U165" s="34">
        <v>1</v>
      </c>
      <c r="V165" s="31">
        <v>1</v>
      </c>
      <c r="W165" s="30">
        <v>1</v>
      </c>
      <c r="X165" s="26">
        <v>1</v>
      </c>
      <c r="Y165" s="25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</row>
    <row r="166" spans="1:31" ht="16.8" x14ac:dyDescent="0.3">
      <c r="A166" s="130"/>
      <c r="B166" s="33" t="s">
        <v>49</v>
      </c>
      <c r="C166" s="24" t="s">
        <v>66</v>
      </c>
      <c r="D166" s="63">
        <v>1</v>
      </c>
      <c r="E166" s="34"/>
      <c r="F166" s="34">
        <v>1</v>
      </c>
      <c r="G166" s="34">
        <v>1</v>
      </c>
      <c r="H166" s="34">
        <v>1</v>
      </c>
      <c r="I166" s="34">
        <v>1</v>
      </c>
      <c r="J166" s="34">
        <v>1</v>
      </c>
      <c r="K166" s="34">
        <v>1</v>
      </c>
      <c r="L166" s="34">
        <v>1</v>
      </c>
      <c r="M166" s="34">
        <v>1</v>
      </c>
      <c r="N166" s="34">
        <v>1</v>
      </c>
      <c r="O166" s="34">
        <v>1</v>
      </c>
      <c r="P166" s="34">
        <v>1</v>
      </c>
      <c r="Q166" s="34">
        <v>1</v>
      </c>
      <c r="R166" s="34">
        <v>1</v>
      </c>
      <c r="S166" s="34">
        <v>1</v>
      </c>
      <c r="T166" s="34">
        <v>1</v>
      </c>
      <c r="U166" s="34">
        <v>1</v>
      </c>
      <c r="V166" s="31">
        <v>1</v>
      </c>
      <c r="W166" s="30">
        <v>1</v>
      </c>
      <c r="X166" s="26">
        <v>1</v>
      </c>
      <c r="Y166" s="25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</row>
    <row r="167" spans="1:31" ht="16.8" x14ac:dyDescent="0.3">
      <c r="A167" s="130"/>
      <c r="B167" s="33" t="s">
        <v>50</v>
      </c>
      <c r="C167" s="24" t="s">
        <v>40</v>
      </c>
      <c r="D167" s="63">
        <v>1</v>
      </c>
      <c r="E167" s="34"/>
      <c r="F167" s="34">
        <v>1</v>
      </c>
      <c r="G167" s="34">
        <v>1</v>
      </c>
      <c r="H167" s="34">
        <v>1</v>
      </c>
      <c r="I167" s="34">
        <v>1</v>
      </c>
      <c r="J167" s="34">
        <v>1</v>
      </c>
      <c r="K167" s="34">
        <v>1</v>
      </c>
      <c r="L167" s="34">
        <v>1</v>
      </c>
      <c r="M167" s="34">
        <v>1</v>
      </c>
      <c r="N167" s="34">
        <v>1</v>
      </c>
      <c r="O167" s="34">
        <v>1</v>
      </c>
      <c r="P167" s="34">
        <v>1</v>
      </c>
      <c r="Q167" s="34">
        <v>1</v>
      </c>
      <c r="R167" s="34">
        <v>1</v>
      </c>
      <c r="S167" s="34">
        <v>1</v>
      </c>
      <c r="T167" s="34">
        <v>1</v>
      </c>
      <c r="U167" s="34">
        <v>1</v>
      </c>
      <c r="V167" s="34">
        <v>1</v>
      </c>
      <c r="W167" s="34">
        <v>1</v>
      </c>
      <c r="X167" s="34">
        <v>1</v>
      </c>
      <c r="Y167" s="25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</row>
    <row r="168" spans="1:31" ht="16.8" x14ac:dyDescent="0.3">
      <c r="A168" s="130"/>
      <c r="B168" s="33" t="s">
        <v>51</v>
      </c>
      <c r="C168" s="24" t="s">
        <v>62</v>
      </c>
      <c r="D168" s="63">
        <v>2</v>
      </c>
      <c r="E168" s="34"/>
      <c r="F168" s="34">
        <v>1</v>
      </c>
      <c r="G168" s="34">
        <v>1</v>
      </c>
      <c r="H168" s="34">
        <v>1</v>
      </c>
      <c r="I168" s="34">
        <v>1</v>
      </c>
      <c r="J168" s="34">
        <v>1</v>
      </c>
      <c r="K168" s="34">
        <v>1</v>
      </c>
      <c r="L168" s="34">
        <v>1</v>
      </c>
      <c r="M168" s="34">
        <v>1</v>
      </c>
      <c r="N168" s="34">
        <v>1</v>
      </c>
      <c r="O168" s="34">
        <v>1</v>
      </c>
      <c r="P168" s="34">
        <v>1</v>
      </c>
      <c r="Q168" s="34">
        <v>1</v>
      </c>
      <c r="R168" s="34">
        <v>1</v>
      </c>
      <c r="S168" s="34">
        <v>1</v>
      </c>
      <c r="T168" s="34">
        <v>1</v>
      </c>
      <c r="U168" s="34">
        <v>1</v>
      </c>
      <c r="V168" s="34">
        <v>1</v>
      </c>
      <c r="W168" s="31">
        <v>1</v>
      </c>
      <c r="X168" s="61">
        <v>2</v>
      </c>
      <c r="Y168" s="25">
        <v>0</v>
      </c>
      <c r="Z168" s="26">
        <v>0</v>
      </c>
      <c r="AA168" s="26">
        <v>0</v>
      </c>
      <c r="AB168" s="30">
        <v>0</v>
      </c>
      <c r="AC168" s="26">
        <v>0</v>
      </c>
      <c r="AD168" s="26">
        <v>0</v>
      </c>
      <c r="AE168" s="26">
        <v>0</v>
      </c>
    </row>
    <row r="169" spans="1:31" ht="16.8" x14ac:dyDescent="0.3">
      <c r="A169" s="130"/>
      <c r="B169" s="33" t="s">
        <v>52</v>
      </c>
      <c r="C169" s="24" t="s">
        <v>63</v>
      </c>
      <c r="D169" s="63">
        <v>1</v>
      </c>
      <c r="E169" s="34"/>
      <c r="F169" s="34">
        <v>1</v>
      </c>
      <c r="G169" s="34">
        <v>1</v>
      </c>
      <c r="H169" s="34">
        <v>1</v>
      </c>
      <c r="I169" s="34">
        <v>1</v>
      </c>
      <c r="J169" s="34">
        <v>1</v>
      </c>
      <c r="K169" s="34">
        <v>1</v>
      </c>
      <c r="L169" s="34">
        <v>1</v>
      </c>
      <c r="M169" s="34">
        <v>1</v>
      </c>
      <c r="N169" s="34">
        <v>1</v>
      </c>
      <c r="O169" s="34">
        <v>1</v>
      </c>
      <c r="P169" s="34">
        <v>1</v>
      </c>
      <c r="Q169" s="34">
        <v>1</v>
      </c>
      <c r="R169" s="34">
        <v>1</v>
      </c>
      <c r="S169" s="34">
        <v>1</v>
      </c>
      <c r="T169" s="34">
        <v>1</v>
      </c>
      <c r="U169" s="34">
        <v>1</v>
      </c>
      <c r="V169" s="34">
        <v>1</v>
      </c>
      <c r="W169" s="34">
        <v>1</v>
      </c>
      <c r="X169" s="34">
        <v>1</v>
      </c>
      <c r="Y169" s="25">
        <v>0</v>
      </c>
      <c r="Z169" s="34">
        <v>0</v>
      </c>
      <c r="AA169" s="34">
        <v>0</v>
      </c>
      <c r="AB169" s="26">
        <v>0</v>
      </c>
      <c r="AC169" s="26">
        <v>0</v>
      </c>
      <c r="AD169" s="26">
        <v>0</v>
      </c>
      <c r="AE169" s="26">
        <v>0</v>
      </c>
    </row>
    <row r="170" spans="1:31" ht="16.8" x14ac:dyDescent="0.3">
      <c r="A170" s="130"/>
      <c r="B170" s="33" t="s">
        <v>53</v>
      </c>
      <c r="C170" s="24" t="s">
        <v>46</v>
      </c>
      <c r="D170" s="63">
        <v>1</v>
      </c>
      <c r="E170" s="34"/>
      <c r="F170" s="34">
        <v>1</v>
      </c>
      <c r="G170" s="34">
        <v>1</v>
      </c>
      <c r="H170" s="34">
        <v>1</v>
      </c>
      <c r="I170" s="34">
        <v>1</v>
      </c>
      <c r="J170" s="34">
        <v>1</v>
      </c>
      <c r="K170" s="34">
        <v>1</v>
      </c>
      <c r="L170" s="34">
        <v>1</v>
      </c>
      <c r="M170" s="34">
        <v>1</v>
      </c>
      <c r="N170" s="34">
        <v>1</v>
      </c>
      <c r="O170" s="34">
        <v>1</v>
      </c>
      <c r="P170" s="34">
        <v>1</v>
      </c>
      <c r="Q170" s="34">
        <v>1</v>
      </c>
      <c r="R170" s="34">
        <v>1</v>
      </c>
      <c r="S170" s="34">
        <v>1</v>
      </c>
      <c r="T170" s="34">
        <v>1</v>
      </c>
      <c r="U170" s="34">
        <v>1</v>
      </c>
      <c r="V170" s="34">
        <v>1</v>
      </c>
      <c r="W170" s="34">
        <v>1</v>
      </c>
      <c r="X170" s="34">
        <v>1</v>
      </c>
      <c r="Y170" s="34">
        <v>1</v>
      </c>
      <c r="Z170" s="25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</row>
    <row r="171" spans="1:31" ht="16.8" x14ac:dyDescent="0.3">
      <c r="A171" s="130"/>
      <c r="B171" s="33" t="s">
        <v>54</v>
      </c>
      <c r="C171" s="24" t="s">
        <v>41</v>
      </c>
      <c r="D171" s="63">
        <v>1</v>
      </c>
      <c r="E171" s="34"/>
      <c r="F171" s="34">
        <v>1</v>
      </c>
      <c r="G171" s="34">
        <v>1</v>
      </c>
      <c r="H171" s="34">
        <v>1</v>
      </c>
      <c r="I171" s="34">
        <v>1</v>
      </c>
      <c r="J171" s="34">
        <v>1</v>
      </c>
      <c r="K171" s="34">
        <v>1</v>
      </c>
      <c r="L171" s="34">
        <v>1</v>
      </c>
      <c r="M171" s="34">
        <v>1</v>
      </c>
      <c r="N171" s="34">
        <v>1</v>
      </c>
      <c r="O171" s="34">
        <v>1</v>
      </c>
      <c r="P171" s="34">
        <v>1</v>
      </c>
      <c r="Q171" s="34">
        <v>1</v>
      </c>
      <c r="R171" s="34">
        <v>1</v>
      </c>
      <c r="S171" s="34">
        <v>1</v>
      </c>
      <c r="T171" s="34">
        <v>1</v>
      </c>
      <c r="U171" s="34">
        <v>1</v>
      </c>
      <c r="V171" s="31">
        <v>1</v>
      </c>
      <c r="W171" s="30">
        <v>1</v>
      </c>
      <c r="X171" s="26">
        <v>1</v>
      </c>
      <c r="Y171" s="26">
        <v>1</v>
      </c>
      <c r="Z171" s="25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</row>
    <row r="172" spans="1:31" ht="16.8" x14ac:dyDescent="0.3">
      <c r="A172" s="130"/>
      <c r="B172" s="33" t="s">
        <v>55</v>
      </c>
      <c r="C172" s="24" t="s">
        <v>40</v>
      </c>
      <c r="D172" s="63">
        <v>2</v>
      </c>
      <c r="E172" s="34"/>
      <c r="F172" s="34">
        <v>1</v>
      </c>
      <c r="G172" s="34">
        <v>1</v>
      </c>
      <c r="H172" s="34">
        <v>1</v>
      </c>
      <c r="I172" s="34">
        <v>1</v>
      </c>
      <c r="J172" s="34">
        <v>1</v>
      </c>
      <c r="K172" s="34">
        <v>1</v>
      </c>
      <c r="L172" s="34">
        <v>1</v>
      </c>
      <c r="M172" s="34">
        <v>1</v>
      </c>
      <c r="N172" s="34">
        <v>1</v>
      </c>
      <c r="O172" s="34">
        <v>1</v>
      </c>
      <c r="P172" s="34">
        <v>1</v>
      </c>
      <c r="Q172" s="34">
        <v>1</v>
      </c>
      <c r="R172" s="34">
        <v>1</v>
      </c>
      <c r="S172" s="34">
        <v>1</v>
      </c>
      <c r="T172" s="34">
        <v>1</v>
      </c>
      <c r="U172" s="34">
        <v>1</v>
      </c>
      <c r="V172" s="31">
        <v>1</v>
      </c>
      <c r="W172" s="30">
        <v>1</v>
      </c>
      <c r="X172" s="26">
        <v>1</v>
      </c>
      <c r="Y172" s="61">
        <v>2</v>
      </c>
      <c r="Z172" s="25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</row>
    <row r="173" spans="1:31" ht="16.8" x14ac:dyDescent="0.3">
      <c r="A173" s="130"/>
      <c r="B173" s="33" t="s">
        <v>56</v>
      </c>
      <c r="C173" s="24" t="s">
        <v>42</v>
      </c>
      <c r="D173" s="63">
        <v>3</v>
      </c>
      <c r="E173" s="34"/>
      <c r="F173" s="34">
        <v>1</v>
      </c>
      <c r="G173" s="34">
        <v>1</v>
      </c>
      <c r="H173" s="34">
        <v>1</v>
      </c>
      <c r="I173" s="34">
        <v>1</v>
      </c>
      <c r="J173" s="34">
        <v>1</v>
      </c>
      <c r="K173" s="34">
        <v>1</v>
      </c>
      <c r="L173" s="34">
        <v>1</v>
      </c>
      <c r="M173" s="34">
        <v>1</v>
      </c>
      <c r="N173" s="34">
        <v>1</v>
      </c>
      <c r="O173" s="34">
        <v>1</v>
      </c>
      <c r="P173" s="34">
        <v>1</v>
      </c>
      <c r="Q173" s="34">
        <v>1</v>
      </c>
      <c r="R173" s="34">
        <v>1</v>
      </c>
      <c r="S173" s="34">
        <v>1</v>
      </c>
      <c r="T173" s="34">
        <v>1</v>
      </c>
      <c r="U173" s="34">
        <v>1</v>
      </c>
      <c r="V173" s="31">
        <v>1</v>
      </c>
      <c r="W173" s="30">
        <v>1</v>
      </c>
      <c r="X173" s="26">
        <v>1</v>
      </c>
      <c r="Y173" s="61">
        <v>3</v>
      </c>
      <c r="Z173" s="25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</row>
    <row r="174" spans="1:31" ht="16.8" x14ac:dyDescent="0.3">
      <c r="A174" s="130"/>
      <c r="B174" s="33" t="s">
        <v>57</v>
      </c>
      <c r="C174" s="24" t="s">
        <v>70</v>
      </c>
      <c r="D174" s="63">
        <v>1</v>
      </c>
      <c r="E174" s="34"/>
      <c r="F174" s="34">
        <v>1</v>
      </c>
      <c r="G174" s="34">
        <v>1</v>
      </c>
      <c r="H174" s="34">
        <v>1</v>
      </c>
      <c r="I174" s="34">
        <v>1</v>
      </c>
      <c r="J174" s="34">
        <v>1</v>
      </c>
      <c r="K174" s="34">
        <v>1</v>
      </c>
      <c r="L174" s="34">
        <v>1</v>
      </c>
      <c r="M174" s="34">
        <v>1</v>
      </c>
      <c r="N174" s="34">
        <v>1</v>
      </c>
      <c r="O174" s="34">
        <v>1</v>
      </c>
      <c r="P174" s="34">
        <v>1</v>
      </c>
      <c r="Q174" s="34">
        <v>1</v>
      </c>
      <c r="R174" s="34">
        <v>1</v>
      </c>
      <c r="S174" s="34">
        <v>1</v>
      </c>
      <c r="T174" s="34">
        <v>1</v>
      </c>
      <c r="U174" s="34">
        <v>1</v>
      </c>
      <c r="V174" s="31">
        <v>1</v>
      </c>
      <c r="W174" s="30">
        <v>1</v>
      </c>
      <c r="X174" s="26">
        <v>1</v>
      </c>
      <c r="Y174" s="26">
        <v>1</v>
      </c>
      <c r="Z174" s="25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</row>
    <row r="175" spans="1:31" ht="16.8" x14ac:dyDescent="0.3">
      <c r="A175" s="130"/>
      <c r="B175" s="33" t="s">
        <v>58</v>
      </c>
      <c r="C175" s="24" t="s">
        <v>71</v>
      </c>
      <c r="D175" s="63">
        <v>2</v>
      </c>
      <c r="E175" s="34"/>
      <c r="F175" s="34">
        <v>1</v>
      </c>
      <c r="G175" s="34">
        <v>1</v>
      </c>
      <c r="H175" s="34">
        <v>1</v>
      </c>
      <c r="I175" s="34">
        <v>1</v>
      </c>
      <c r="J175" s="34">
        <v>1</v>
      </c>
      <c r="K175" s="34">
        <v>1</v>
      </c>
      <c r="L175" s="34">
        <v>1</v>
      </c>
      <c r="M175" s="34">
        <v>1</v>
      </c>
      <c r="N175" s="34">
        <v>1</v>
      </c>
      <c r="O175" s="34">
        <v>1</v>
      </c>
      <c r="P175" s="34">
        <v>1</v>
      </c>
      <c r="Q175" s="34">
        <v>1</v>
      </c>
      <c r="R175" s="34">
        <v>1</v>
      </c>
      <c r="S175" s="34">
        <v>1</v>
      </c>
      <c r="T175" s="34">
        <v>1</v>
      </c>
      <c r="U175" s="34">
        <v>1</v>
      </c>
      <c r="V175" s="31">
        <v>1</v>
      </c>
      <c r="W175" s="30">
        <v>1</v>
      </c>
      <c r="X175" s="26">
        <v>1</v>
      </c>
      <c r="Y175" s="61">
        <v>2</v>
      </c>
      <c r="Z175" s="25">
        <v>0</v>
      </c>
      <c r="AA175" s="26">
        <v>0</v>
      </c>
      <c r="AB175" s="26">
        <v>0</v>
      </c>
      <c r="AC175" s="26">
        <v>0</v>
      </c>
      <c r="AD175" s="26">
        <v>0</v>
      </c>
      <c r="AE175" s="26">
        <v>0</v>
      </c>
    </row>
    <row r="176" spans="1:31" ht="16.8" x14ac:dyDescent="0.3">
      <c r="A176" s="130"/>
      <c r="B176" s="33" t="s">
        <v>59</v>
      </c>
      <c r="C176" s="59" t="s">
        <v>68</v>
      </c>
      <c r="D176" s="64">
        <v>2</v>
      </c>
      <c r="E176" s="34"/>
      <c r="F176" s="34">
        <v>1</v>
      </c>
      <c r="G176" s="34">
        <v>1</v>
      </c>
      <c r="H176" s="34">
        <v>1</v>
      </c>
      <c r="I176" s="34">
        <v>1</v>
      </c>
      <c r="J176" s="34">
        <v>1</v>
      </c>
      <c r="K176" s="34">
        <v>1</v>
      </c>
      <c r="L176" s="34">
        <v>1</v>
      </c>
      <c r="M176" s="34">
        <v>1</v>
      </c>
      <c r="N176" s="34">
        <v>1</v>
      </c>
      <c r="O176" s="34">
        <v>1</v>
      </c>
      <c r="P176" s="34">
        <v>1</v>
      </c>
      <c r="Q176" s="34">
        <v>1</v>
      </c>
      <c r="R176" s="34">
        <v>1</v>
      </c>
      <c r="S176" s="34">
        <v>1</v>
      </c>
      <c r="T176" s="34">
        <v>1</v>
      </c>
      <c r="U176" s="34">
        <v>1</v>
      </c>
      <c r="V176" s="31">
        <v>1</v>
      </c>
      <c r="W176" s="30">
        <v>1</v>
      </c>
      <c r="X176" s="26">
        <v>1</v>
      </c>
      <c r="Y176" s="61">
        <v>2</v>
      </c>
      <c r="Z176" s="25">
        <v>0</v>
      </c>
      <c r="AA176" s="26">
        <v>0</v>
      </c>
      <c r="AC176" s="26">
        <v>0</v>
      </c>
      <c r="AD176" s="26">
        <v>0</v>
      </c>
      <c r="AE176" s="26">
        <v>0</v>
      </c>
    </row>
    <row r="177" spans="1:31" ht="16.8" x14ac:dyDescent="0.3">
      <c r="A177" s="130" t="s">
        <v>36</v>
      </c>
      <c r="B177" s="33" t="s">
        <v>48</v>
      </c>
      <c r="C177" s="24" t="s">
        <v>41</v>
      </c>
      <c r="D177" s="63">
        <v>1</v>
      </c>
      <c r="E177" s="34"/>
      <c r="F177" s="34">
        <v>1</v>
      </c>
      <c r="G177" s="34">
        <v>1</v>
      </c>
      <c r="H177" s="34">
        <v>1</v>
      </c>
      <c r="I177" s="34">
        <v>1</v>
      </c>
      <c r="J177" s="34">
        <v>1</v>
      </c>
      <c r="K177" s="34">
        <v>1</v>
      </c>
      <c r="L177" s="34">
        <v>1</v>
      </c>
      <c r="M177" s="34">
        <v>1</v>
      </c>
      <c r="N177" s="34">
        <v>1</v>
      </c>
      <c r="O177" s="34">
        <v>1</v>
      </c>
      <c r="P177" s="34">
        <v>1</v>
      </c>
      <c r="Q177" s="34">
        <v>1</v>
      </c>
      <c r="R177" s="34">
        <v>1</v>
      </c>
      <c r="S177" s="34">
        <v>1</v>
      </c>
      <c r="T177" s="34">
        <v>1</v>
      </c>
      <c r="U177" s="34">
        <v>1</v>
      </c>
      <c r="V177" s="34">
        <v>1</v>
      </c>
      <c r="W177" s="34">
        <v>1</v>
      </c>
      <c r="X177" s="34">
        <v>1</v>
      </c>
      <c r="Y177" s="34">
        <v>1</v>
      </c>
      <c r="Z177" s="34">
        <v>1</v>
      </c>
      <c r="AA177" s="25">
        <v>0</v>
      </c>
      <c r="AB177" s="26">
        <v>0</v>
      </c>
      <c r="AC177" s="26">
        <v>0</v>
      </c>
      <c r="AD177" s="26">
        <v>0</v>
      </c>
      <c r="AE177" s="26">
        <v>0</v>
      </c>
    </row>
    <row r="178" spans="1:31" ht="16.8" x14ac:dyDescent="0.3">
      <c r="A178" s="130"/>
      <c r="B178" s="33" t="s">
        <v>30</v>
      </c>
      <c r="C178" s="53" t="s">
        <v>46</v>
      </c>
      <c r="D178" s="63">
        <v>1</v>
      </c>
      <c r="E178" s="34"/>
      <c r="F178" s="34">
        <v>1</v>
      </c>
      <c r="G178" s="34">
        <v>1</v>
      </c>
      <c r="H178" s="34">
        <v>1</v>
      </c>
      <c r="I178" s="34">
        <v>1</v>
      </c>
      <c r="J178" s="34">
        <v>1</v>
      </c>
      <c r="K178" s="34">
        <v>1</v>
      </c>
      <c r="L178" s="34">
        <v>1</v>
      </c>
      <c r="M178" s="34">
        <v>1</v>
      </c>
      <c r="N178" s="34">
        <v>1</v>
      </c>
      <c r="O178" s="34">
        <v>1</v>
      </c>
      <c r="P178" s="34">
        <v>1</v>
      </c>
      <c r="Q178" s="34">
        <v>1</v>
      </c>
      <c r="R178" s="34">
        <v>1</v>
      </c>
      <c r="S178" s="34">
        <v>1</v>
      </c>
      <c r="T178" s="34">
        <v>1</v>
      </c>
      <c r="U178" s="34">
        <v>1</v>
      </c>
      <c r="V178" s="34">
        <v>1</v>
      </c>
      <c r="W178" s="34">
        <v>1</v>
      </c>
      <c r="X178" s="34">
        <v>1</v>
      </c>
      <c r="Y178" s="34">
        <v>1</v>
      </c>
      <c r="Z178" s="34">
        <v>1</v>
      </c>
      <c r="AA178" s="25">
        <v>0</v>
      </c>
      <c r="AB178" s="26">
        <v>0</v>
      </c>
      <c r="AC178" s="26">
        <v>0</v>
      </c>
      <c r="AD178" s="26">
        <v>0</v>
      </c>
      <c r="AE178" s="26">
        <v>0</v>
      </c>
    </row>
    <row r="179" spans="1:31" ht="16.8" x14ac:dyDescent="0.3">
      <c r="A179" s="130"/>
      <c r="B179" s="33" t="s">
        <v>31</v>
      </c>
      <c r="C179" s="53" t="s">
        <v>42</v>
      </c>
      <c r="D179" s="63">
        <v>1</v>
      </c>
      <c r="E179" s="34"/>
      <c r="F179" s="34">
        <v>1</v>
      </c>
      <c r="G179" s="34">
        <v>1</v>
      </c>
      <c r="H179" s="34">
        <v>1</v>
      </c>
      <c r="I179" s="34">
        <v>1</v>
      </c>
      <c r="J179" s="34">
        <v>1</v>
      </c>
      <c r="K179" s="34">
        <v>1</v>
      </c>
      <c r="L179" s="34">
        <v>1</v>
      </c>
      <c r="M179" s="34">
        <v>1</v>
      </c>
      <c r="N179" s="34">
        <v>1</v>
      </c>
      <c r="O179" s="34">
        <v>1</v>
      </c>
      <c r="P179" s="34">
        <v>1</v>
      </c>
      <c r="Q179" s="34">
        <v>1</v>
      </c>
      <c r="R179" s="34">
        <v>1</v>
      </c>
      <c r="S179" s="34">
        <v>1</v>
      </c>
      <c r="T179" s="34">
        <v>1</v>
      </c>
      <c r="U179" s="34">
        <v>1</v>
      </c>
      <c r="V179" s="34">
        <v>1</v>
      </c>
      <c r="W179" s="34">
        <v>1</v>
      </c>
      <c r="X179" s="34">
        <v>1</v>
      </c>
      <c r="Y179" s="34">
        <v>1</v>
      </c>
      <c r="Z179" s="34">
        <v>1</v>
      </c>
      <c r="AA179" s="25">
        <v>0</v>
      </c>
      <c r="AB179" s="26">
        <v>0</v>
      </c>
      <c r="AC179" s="26">
        <v>0</v>
      </c>
      <c r="AD179" s="26">
        <v>0</v>
      </c>
      <c r="AE179" s="26">
        <v>0</v>
      </c>
    </row>
    <row r="180" spans="1:31" ht="16.8" x14ac:dyDescent="0.3">
      <c r="A180" s="130"/>
      <c r="B180" s="33" t="s">
        <v>49</v>
      </c>
      <c r="C180" s="53" t="s">
        <v>44</v>
      </c>
      <c r="D180" s="63">
        <v>2</v>
      </c>
      <c r="E180" s="34"/>
      <c r="F180" s="34">
        <v>2</v>
      </c>
      <c r="G180" s="34">
        <v>2</v>
      </c>
      <c r="H180" s="34">
        <v>2</v>
      </c>
      <c r="I180" s="34">
        <v>2</v>
      </c>
      <c r="J180" s="34">
        <v>2</v>
      </c>
      <c r="K180" s="34">
        <v>2</v>
      </c>
      <c r="L180" s="34">
        <v>2</v>
      </c>
      <c r="M180" s="34">
        <v>2</v>
      </c>
      <c r="N180" s="34">
        <v>2</v>
      </c>
      <c r="O180" s="34">
        <v>2</v>
      </c>
      <c r="P180" s="34">
        <v>2</v>
      </c>
      <c r="Q180" s="34">
        <v>2</v>
      </c>
      <c r="R180" s="34">
        <v>2</v>
      </c>
      <c r="S180" s="34">
        <v>2</v>
      </c>
      <c r="T180" s="34">
        <v>2</v>
      </c>
      <c r="U180" s="34">
        <v>2</v>
      </c>
      <c r="V180" s="34">
        <v>2</v>
      </c>
      <c r="W180" s="34">
        <v>2</v>
      </c>
      <c r="X180" s="34">
        <v>2</v>
      </c>
      <c r="Y180" s="34">
        <v>2</v>
      </c>
      <c r="Z180" s="34">
        <v>2</v>
      </c>
      <c r="AA180" s="25">
        <v>0</v>
      </c>
      <c r="AB180" s="26">
        <v>0</v>
      </c>
      <c r="AC180" s="26">
        <v>0</v>
      </c>
      <c r="AD180" s="26">
        <v>0</v>
      </c>
      <c r="AE180" s="26">
        <v>0</v>
      </c>
    </row>
    <row r="181" spans="1:31" ht="16.8" x14ac:dyDescent="0.3">
      <c r="A181" s="130"/>
      <c r="B181" s="33" t="s">
        <v>50</v>
      </c>
      <c r="C181" s="53" t="s">
        <v>42</v>
      </c>
      <c r="D181" s="63">
        <v>1</v>
      </c>
      <c r="E181" s="34"/>
      <c r="F181" s="34">
        <v>1</v>
      </c>
      <c r="G181" s="34">
        <v>1</v>
      </c>
      <c r="H181" s="34">
        <v>1</v>
      </c>
      <c r="I181" s="34">
        <v>1</v>
      </c>
      <c r="J181" s="34">
        <v>1</v>
      </c>
      <c r="K181" s="34">
        <v>1</v>
      </c>
      <c r="L181" s="34">
        <v>1</v>
      </c>
      <c r="M181" s="34">
        <v>1</v>
      </c>
      <c r="N181" s="34">
        <v>1</v>
      </c>
      <c r="O181" s="34">
        <v>1</v>
      </c>
      <c r="P181" s="34">
        <v>1</v>
      </c>
      <c r="Q181" s="34">
        <v>1</v>
      </c>
      <c r="R181" s="34">
        <v>1</v>
      </c>
      <c r="S181" s="34">
        <v>1</v>
      </c>
      <c r="T181" s="34">
        <v>1</v>
      </c>
      <c r="U181" s="34">
        <v>1</v>
      </c>
      <c r="V181" s="34">
        <v>1</v>
      </c>
      <c r="W181" s="34">
        <v>1</v>
      </c>
      <c r="X181" s="34">
        <v>1</v>
      </c>
      <c r="Y181" s="34">
        <v>1</v>
      </c>
      <c r="Z181" s="34">
        <v>1</v>
      </c>
      <c r="AA181" s="25">
        <v>0</v>
      </c>
      <c r="AB181" s="26">
        <v>0</v>
      </c>
      <c r="AC181" s="26">
        <v>0</v>
      </c>
      <c r="AD181" s="26">
        <v>0</v>
      </c>
      <c r="AE181" s="26">
        <v>0</v>
      </c>
    </row>
    <row r="182" spans="1:31" ht="16.8" x14ac:dyDescent="0.3">
      <c r="A182" s="130"/>
      <c r="B182" s="33" t="s">
        <v>51</v>
      </c>
      <c r="C182" s="53" t="s">
        <v>64</v>
      </c>
      <c r="D182" s="63">
        <v>2</v>
      </c>
      <c r="E182" s="34"/>
      <c r="F182" s="34">
        <v>1</v>
      </c>
      <c r="G182" s="34">
        <v>1</v>
      </c>
      <c r="H182" s="34">
        <v>1</v>
      </c>
      <c r="I182" s="34">
        <v>1</v>
      </c>
      <c r="J182" s="34">
        <v>1</v>
      </c>
      <c r="K182" s="34">
        <v>1</v>
      </c>
      <c r="L182" s="34">
        <v>1</v>
      </c>
      <c r="M182" s="34">
        <v>1</v>
      </c>
      <c r="N182" s="34">
        <v>1</v>
      </c>
      <c r="O182" s="34">
        <v>1</v>
      </c>
      <c r="P182" s="34">
        <v>1</v>
      </c>
      <c r="Q182" s="34">
        <v>1</v>
      </c>
      <c r="R182" s="34">
        <v>1</v>
      </c>
      <c r="S182" s="34">
        <v>1</v>
      </c>
      <c r="T182" s="34">
        <v>1</v>
      </c>
      <c r="U182" s="34">
        <v>1</v>
      </c>
      <c r="V182" s="34">
        <v>1</v>
      </c>
      <c r="W182" s="34">
        <v>1</v>
      </c>
      <c r="X182" s="34">
        <v>1</v>
      </c>
      <c r="Y182" s="34">
        <v>1</v>
      </c>
      <c r="Z182" s="61">
        <v>2</v>
      </c>
      <c r="AA182" s="25">
        <v>0</v>
      </c>
      <c r="AB182" s="26">
        <v>0</v>
      </c>
      <c r="AC182" s="26">
        <v>0</v>
      </c>
      <c r="AD182" s="26">
        <v>0</v>
      </c>
      <c r="AE182" s="26">
        <v>0</v>
      </c>
    </row>
    <row r="183" spans="1:31" ht="16.8" x14ac:dyDescent="0.3">
      <c r="A183" s="130"/>
      <c r="B183" s="33" t="s">
        <v>52</v>
      </c>
      <c r="C183" s="53" t="s">
        <v>40</v>
      </c>
      <c r="D183" s="63">
        <v>1</v>
      </c>
      <c r="E183" s="34"/>
      <c r="F183" s="34">
        <v>1</v>
      </c>
      <c r="G183" s="34">
        <v>1</v>
      </c>
      <c r="H183" s="34">
        <v>1</v>
      </c>
      <c r="I183" s="34">
        <v>1</v>
      </c>
      <c r="J183" s="34">
        <v>1</v>
      </c>
      <c r="K183" s="34">
        <v>1</v>
      </c>
      <c r="L183" s="34">
        <v>1</v>
      </c>
      <c r="M183" s="34">
        <v>1</v>
      </c>
      <c r="N183" s="34">
        <v>1</v>
      </c>
      <c r="O183" s="34">
        <v>1</v>
      </c>
      <c r="P183" s="34">
        <v>1</v>
      </c>
      <c r="Q183" s="34">
        <v>1</v>
      </c>
      <c r="R183" s="34">
        <v>1</v>
      </c>
      <c r="S183" s="34">
        <v>1</v>
      </c>
      <c r="T183" s="34">
        <v>1</v>
      </c>
      <c r="U183" s="34">
        <v>1</v>
      </c>
      <c r="V183" s="34">
        <v>1</v>
      </c>
      <c r="W183" s="34">
        <v>1</v>
      </c>
      <c r="X183" s="34">
        <v>1</v>
      </c>
      <c r="Y183" s="34">
        <v>1</v>
      </c>
      <c r="Z183" s="34">
        <v>1</v>
      </c>
      <c r="AA183" s="25">
        <v>0</v>
      </c>
      <c r="AB183" s="26">
        <v>0</v>
      </c>
      <c r="AC183" s="26">
        <v>0</v>
      </c>
      <c r="AD183" s="26">
        <v>0</v>
      </c>
      <c r="AE183" s="26">
        <v>0</v>
      </c>
    </row>
    <row r="184" spans="1:31" ht="16.8" x14ac:dyDescent="0.3">
      <c r="A184" s="130"/>
      <c r="B184" s="33" t="s">
        <v>53</v>
      </c>
      <c r="C184" s="53" t="s">
        <v>44</v>
      </c>
      <c r="D184" s="63">
        <v>1</v>
      </c>
      <c r="E184" s="34"/>
      <c r="F184" s="34">
        <v>2</v>
      </c>
      <c r="G184" s="34">
        <v>2</v>
      </c>
      <c r="H184" s="34">
        <v>2</v>
      </c>
      <c r="I184" s="34">
        <v>2</v>
      </c>
      <c r="J184" s="34">
        <v>2</v>
      </c>
      <c r="K184" s="34">
        <v>2</v>
      </c>
      <c r="L184" s="34">
        <v>2</v>
      </c>
      <c r="M184" s="34">
        <v>2</v>
      </c>
      <c r="N184" s="34">
        <v>2</v>
      </c>
      <c r="O184" s="34">
        <v>2</v>
      </c>
      <c r="P184" s="34">
        <v>2</v>
      </c>
      <c r="Q184" s="34">
        <v>2</v>
      </c>
      <c r="R184" s="34">
        <v>2</v>
      </c>
      <c r="S184" s="34">
        <v>2</v>
      </c>
      <c r="T184" s="34">
        <v>2</v>
      </c>
      <c r="U184" s="34">
        <v>2</v>
      </c>
      <c r="V184" s="34">
        <v>2</v>
      </c>
      <c r="W184" s="34">
        <v>2</v>
      </c>
      <c r="X184" s="34">
        <v>2</v>
      </c>
      <c r="Y184" s="34">
        <v>2</v>
      </c>
      <c r="Z184" s="34">
        <v>2</v>
      </c>
      <c r="AA184" s="60">
        <v>1</v>
      </c>
      <c r="AB184" s="25">
        <v>0</v>
      </c>
      <c r="AC184" s="26">
        <v>0</v>
      </c>
      <c r="AD184" s="26">
        <v>0</v>
      </c>
      <c r="AE184" s="26">
        <v>0</v>
      </c>
    </row>
    <row r="185" spans="1:31" ht="16.8" x14ac:dyDescent="0.3">
      <c r="A185" s="130"/>
      <c r="B185" s="33" t="s">
        <v>54</v>
      </c>
      <c r="C185" s="53" t="s">
        <v>40</v>
      </c>
      <c r="D185" s="63">
        <v>2</v>
      </c>
      <c r="E185" s="34"/>
      <c r="F185" s="34">
        <v>2</v>
      </c>
      <c r="G185" s="34">
        <v>2</v>
      </c>
      <c r="H185" s="34">
        <v>2</v>
      </c>
      <c r="I185" s="34">
        <v>2</v>
      </c>
      <c r="J185" s="34">
        <v>2</v>
      </c>
      <c r="K185" s="34">
        <v>2</v>
      </c>
      <c r="L185" s="34">
        <v>2</v>
      </c>
      <c r="M185" s="34">
        <v>2</v>
      </c>
      <c r="N185" s="34">
        <v>2</v>
      </c>
      <c r="O185" s="34">
        <v>2</v>
      </c>
      <c r="P185" s="34">
        <v>2</v>
      </c>
      <c r="Q185" s="34">
        <v>2</v>
      </c>
      <c r="R185" s="34">
        <v>2</v>
      </c>
      <c r="S185" s="34">
        <v>2</v>
      </c>
      <c r="T185" s="34">
        <v>2</v>
      </c>
      <c r="U185" s="34">
        <v>2</v>
      </c>
      <c r="V185" s="34">
        <v>2</v>
      </c>
      <c r="W185" s="34">
        <v>2</v>
      </c>
      <c r="X185" s="34">
        <v>2</v>
      </c>
      <c r="Y185" s="34">
        <v>2</v>
      </c>
      <c r="Z185" s="34">
        <v>2</v>
      </c>
      <c r="AA185" s="34">
        <v>2</v>
      </c>
      <c r="AB185" s="25">
        <v>0</v>
      </c>
      <c r="AC185" s="26">
        <v>0</v>
      </c>
      <c r="AD185" s="26">
        <v>0</v>
      </c>
      <c r="AE185" s="26">
        <v>0</v>
      </c>
    </row>
    <row r="186" spans="1:31" ht="16.8" x14ac:dyDescent="0.3">
      <c r="A186" s="130"/>
      <c r="B186" s="33" t="s">
        <v>55</v>
      </c>
      <c r="C186" s="53" t="s">
        <v>42</v>
      </c>
      <c r="D186" s="63">
        <v>2</v>
      </c>
      <c r="E186" s="34"/>
      <c r="F186" s="34">
        <v>2</v>
      </c>
      <c r="G186" s="34">
        <v>2</v>
      </c>
      <c r="H186" s="34">
        <v>2</v>
      </c>
      <c r="I186" s="34">
        <v>2</v>
      </c>
      <c r="J186" s="34">
        <v>2</v>
      </c>
      <c r="K186" s="34">
        <v>2</v>
      </c>
      <c r="L186" s="34">
        <v>2</v>
      </c>
      <c r="M186" s="34">
        <v>2</v>
      </c>
      <c r="N186" s="34">
        <v>2</v>
      </c>
      <c r="O186" s="34">
        <v>2</v>
      </c>
      <c r="P186" s="34">
        <v>2</v>
      </c>
      <c r="Q186" s="34">
        <v>2</v>
      </c>
      <c r="R186" s="34">
        <v>2</v>
      </c>
      <c r="S186" s="34">
        <v>2</v>
      </c>
      <c r="T186" s="34">
        <v>2</v>
      </c>
      <c r="U186" s="34">
        <v>2</v>
      </c>
      <c r="V186" s="34">
        <v>2</v>
      </c>
      <c r="W186" s="31">
        <v>2</v>
      </c>
      <c r="X186" s="31">
        <v>2</v>
      </c>
      <c r="Y186" s="30">
        <v>2</v>
      </c>
      <c r="Z186" s="26">
        <v>2</v>
      </c>
      <c r="AA186" s="26">
        <v>2</v>
      </c>
      <c r="AB186" s="25">
        <v>0</v>
      </c>
      <c r="AC186" s="26">
        <v>0</v>
      </c>
      <c r="AD186" s="26">
        <v>0</v>
      </c>
      <c r="AE186" s="26">
        <v>0</v>
      </c>
    </row>
    <row r="187" spans="1:31" ht="16.8" x14ac:dyDescent="0.3">
      <c r="A187" s="130"/>
      <c r="B187" s="33" t="s">
        <v>56</v>
      </c>
      <c r="C187" s="53" t="s">
        <v>45</v>
      </c>
      <c r="D187" s="63">
        <v>2</v>
      </c>
      <c r="E187" s="34"/>
      <c r="F187" s="34">
        <v>2</v>
      </c>
      <c r="G187" s="34">
        <v>2</v>
      </c>
      <c r="H187" s="34">
        <v>2</v>
      </c>
      <c r="I187" s="34">
        <v>2</v>
      </c>
      <c r="J187" s="34">
        <v>2</v>
      </c>
      <c r="K187" s="34">
        <v>2</v>
      </c>
      <c r="L187" s="34">
        <v>2</v>
      </c>
      <c r="M187" s="34">
        <v>2</v>
      </c>
      <c r="N187" s="34">
        <v>2</v>
      </c>
      <c r="O187" s="34">
        <v>2</v>
      </c>
      <c r="P187" s="34">
        <v>2</v>
      </c>
      <c r="Q187" s="34">
        <v>2</v>
      </c>
      <c r="R187" s="34">
        <v>2</v>
      </c>
      <c r="S187" s="34">
        <v>2</v>
      </c>
      <c r="T187" s="34">
        <v>2</v>
      </c>
      <c r="U187" s="34">
        <v>2</v>
      </c>
      <c r="V187" s="34">
        <v>2</v>
      </c>
      <c r="W187" s="31">
        <v>2</v>
      </c>
      <c r="X187" s="31">
        <v>2</v>
      </c>
      <c r="Y187" s="31">
        <v>2</v>
      </c>
      <c r="Z187" s="30">
        <v>2</v>
      </c>
      <c r="AA187" s="26">
        <v>2</v>
      </c>
      <c r="AB187" s="25">
        <v>0</v>
      </c>
      <c r="AC187" s="26">
        <v>0</v>
      </c>
      <c r="AD187" s="26">
        <v>0</v>
      </c>
      <c r="AE187" s="26">
        <v>0</v>
      </c>
    </row>
    <row r="188" spans="1:31" ht="16.8" x14ac:dyDescent="0.3">
      <c r="A188" s="130"/>
      <c r="B188" s="33" t="s">
        <v>57</v>
      </c>
      <c r="C188" s="53" t="s">
        <v>40</v>
      </c>
      <c r="D188" s="63">
        <v>5</v>
      </c>
      <c r="E188" s="34"/>
      <c r="F188" s="34">
        <v>2</v>
      </c>
      <c r="G188" s="34">
        <v>2</v>
      </c>
      <c r="H188" s="34">
        <v>2</v>
      </c>
      <c r="I188" s="34">
        <v>2</v>
      </c>
      <c r="J188" s="34">
        <v>2</v>
      </c>
      <c r="K188" s="34">
        <v>2</v>
      </c>
      <c r="L188" s="34">
        <v>2</v>
      </c>
      <c r="M188" s="34">
        <v>2</v>
      </c>
      <c r="N188" s="34">
        <v>2</v>
      </c>
      <c r="O188" s="34">
        <v>2</v>
      </c>
      <c r="P188" s="34">
        <v>2</v>
      </c>
      <c r="Q188" s="34">
        <v>2</v>
      </c>
      <c r="R188" s="34">
        <v>2</v>
      </c>
      <c r="S188" s="34">
        <v>2</v>
      </c>
      <c r="T188" s="34">
        <v>2</v>
      </c>
      <c r="U188" s="34">
        <v>2</v>
      </c>
      <c r="V188" s="34">
        <v>2</v>
      </c>
      <c r="W188" s="34">
        <v>2</v>
      </c>
      <c r="X188" s="34">
        <v>2</v>
      </c>
      <c r="Y188" s="34">
        <v>2</v>
      </c>
      <c r="Z188" s="34">
        <v>2</v>
      </c>
      <c r="AA188" s="61">
        <v>5</v>
      </c>
      <c r="AB188" s="25">
        <v>0</v>
      </c>
      <c r="AC188" s="26">
        <v>0</v>
      </c>
      <c r="AD188" s="26">
        <v>0</v>
      </c>
      <c r="AE188" s="26">
        <v>0</v>
      </c>
    </row>
    <row r="189" spans="1:31" ht="16.8" x14ac:dyDescent="0.3">
      <c r="A189" s="130"/>
      <c r="B189" s="33" t="s">
        <v>58</v>
      </c>
      <c r="C189" s="53" t="s">
        <v>68</v>
      </c>
      <c r="D189" s="63">
        <v>4</v>
      </c>
      <c r="E189" s="34"/>
      <c r="F189" s="34">
        <v>2</v>
      </c>
      <c r="G189" s="34">
        <v>2</v>
      </c>
      <c r="H189" s="34">
        <v>2</v>
      </c>
      <c r="I189" s="34">
        <v>2</v>
      </c>
      <c r="J189" s="34">
        <v>2</v>
      </c>
      <c r="K189" s="34">
        <v>2</v>
      </c>
      <c r="L189" s="34">
        <v>2</v>
      </c>
      <c r="M189" s="34">
        <v>2</v>
      </c>
      <c r="N189" s="34">
        <v>2</v>
      </c>
      <c r="O189" s="34">
        <v>2</v>
      </c>
      <c r="P189" s="34">
        <v>2</v>
      </c>
      <c r="Q189" s="34">
        <v>2</v>
      </c>
      <c r="R189" s="34">
        <v>2</v>
      </c>
      <c r="S189" s="34">
        <v>2</v>
      </c>
      <c r="T189" s="34">
        <v>2</v>
      </c>
      <c r="U189" s="34">
        <v>2</v>
      </c>
      <c r="V189" s="34">
        <v>2</v>
      </c>
      <c r="W189" s="34">
        <v>2</v>
      </c>
      <c r="X189" s="34">
        <v>2</v>
      </c>
      <c r="Y189" s="34">
        <v>2</v>
      </c>
      <c r="Z189" s="34">
        <v>2</v>
      </c>
      <c r="AA189" s="61">
        <v>4</v>
      </c>
      <c r="AB189" s="25">
        <v>0</v>
      </c>
      <c r="AC189" s="26">
        <v>0</v>
      </c>
      <c r="AD189" s="26">
        <v>0</v>
      </c>
      <c r="AE189" s="26">
        <v>0</v>
      </c>
    </row>
    <row r="190" spans="1:31" ht="16.8" x14ac:dyDescent="0.3">
      <c r="A190" s="130"/>
      <c r="B190" s="33" t="s">
        <v>59</v>
      </c>
      <c r="C190" s="53" t="s">
        <v>69</v>
      </c>
      <c r="D190" s="64">
        <v>2</v>
      </c>
      <c r="E190" s="34"/>
      <c r="F190" s="34">
        <v>2</v>
      </c>
      <c r="G190" s="34">
        <v>2</v>
      </c>
      <c r="H190" s="34">
        <v>2</v>
      </c>
      <c r="I190" s="34">
        <v>2</v>
      </c>
      <c r="J190" s="34">
        <v>2</v>
      </c>
      <c r="K190" s="34">
        <v>2</v>
      </c>
      <c r="L190" s="34">
        <v>2</v>
      </c>
      <c r="M190" s="34">
        <v>2</v>
      </c>
      <c r="N190" s="34">
        <v>2</v>
      </c>
      <c r="O190" s="34">
        <v>2</v>
      </c>
      <c r="P190" s="34">
        <v>2</v>
      </c>
      <c r="Q190" s="34">
        <v>2</v>
      </c>
      <c r="R190" s="34">
        <v>2</v>
      </c>
      <c r="S190" s="34">
        <v>2</v>
      </c>
      <c r="T190" s="34">
        <v>2</v>
      </c>
      <c r="U190" s="34">
        <v>2</v>
      </c>
      <c r="V190" s="34">
        <v>2</v>
      </c>
      <c r="W190" s="34">
        <v>2</v>
      </c>
      <c r="X190" s="34">
        <v>2</v>
      </c>
      <c r="Y190" s="34">
        <v>2</v>
      </c>
      <c r="Z190" s="34">
        <v>2</v>
      </c>
      <c r="AA190" s="34">
        <v>2</v>
      </c>
      <c r="AB190" s="25">
        <v>0</v>
      </c>
      <c r="AC190" s="26">
        <v>0</v>
      </c>
      <c r="AD190" s="26">
        <v>0</v>
      </c>
      <c r="AE190" s="26">
        <v>0</v>
      </c>
    </row>
    <row r="191" spans="1:31" ht="16.8" x14ac:dyDescent="0.3">
      <c r="A191" s="130" t="s">
        <v>37</v>
      </c>
      <c r="B191" s="33" t="s">
        <v>48</v>
      </c>
      <c r="C191" s="24" t="s">
        <v>60</v>
      </c>
      <c r="D191" s="63">
        <v>1</v>
      </c>
      <c r="E191" s="34"/>
      <c r="F191" s="34">
        <v>1</v>
      </c>
      <c r="G191" s="34">
        <v>1</v>
      </c>
      <c r="H191" s="34">
        <v>1</v>
      </c>
      <c r="I191" s="34">
        <v>1</v>
      </c>
      <c r="J191" s="34">
        <v>1</v>
      </c>
      <c r="K191" s="34">
        <v>1</v>
      </c>
      <c r="L191" s="34">
        <v>1</v>
      </c>
      <c r="M191" s="34">
        <v>1</v>
      </c>
      <c r="N191" s="34">
        <v>1</v>
      </c>
      <c r="O191" s="34">
        <v>1</v>
      </c>
      <c r="P191" s="34">
        <v>1</v>
      </c>
      <c r="Q191" s="34">
        <v>1</v>
      </c>
      <c r="R191" s="34">
        <v>1</v>
      </c>
      <c r="S191" s="34">
        <v>1</v>
      </c>
      <c r="T191" s="34">
        <v>1</v>
      </c>
      <c r="U191" s="34">
        <v>1</v>
      </c>
      <c r="V191" s="34">
        <v>1</v>
      </c>
      <c r="W191" s="34">
        <v>1</v>
      </c>
      <c r="X191" s="34">
        <v>1</v>
      </c>
      <c r="Y191" s="34">
        <v>1</v>
      </c>
      <c r="Z191" s="34">
        <v>1</v>
      </c>
      <c r="AA191" s="34">
        <v>1</v>
      </c>
      <c r="AB191" s="34">
        <v>1</v>
      </c>
      <c r="AC191" s="25">
        <v>0</v>
      </c>
      <c r="AD191" s="26">
        <v>0</v>
      </c>
      <c r="AE191" s="26">
        <v>0</v>
      </c>
    </row>
    <row r="192" spans="1:31" ht="16.8" x14ac:dyDescent="0.3">
      <c r="A192" s="130"/>
      <c r="B192" s="33" t="s">
        <v>30</v>
      </c>
      <c r="C192" s="24" t="s">
        <v>40</v>
      </c>
      <c r="D192" s="63">
        <v>1</v>
      </c>
      <c r="E192" s="34"/>
      <c r="F192" s="34">
        <v>1</v>
      </c>
      <c r="G192" s="34">
        <v>1</v>
      </c>
      <c r="H192" s="34">
        <v>1</v>
      </c>
      <c r="I192" s="34">
        <v>1</v>
      </c>
      <c r="J192" s="34">
        <v>1</v>
      </c>
      <c r="K192" s="34">
        <v>1</v>
      </c>
      <c r="L192" s="34">
        <v>1</v>
      </c>
      <c r="M192" s="34">
        <v>1</v>
      </c>
      <c r="N192" s="34">
        <v>1</v>
      </c>
      <c r="O192" s="34">
        <v>1</v>
      </c>
      <c r="P192" s="34">
        <v>1</v>
      </c>
      <c r="Q192" s="34">
        <v>1</v>
      </c>
      <c r="R192" s="34">
        <v>1</v>
      </c>
      <c r="S192" s="34">
        <v>1</v>
      </c>
      <c r="T192" s="34">
        <v>1</v>
      </c>
      <c r="U192" s="34">
        <v>1</v>
      </c>
      <c r="V192" s="34">
        <v>1</v>
      </c>
      <c r="W192" s="34">
        <v>1</v>
      </c>
      <c r="X192" s="34">
        <v>1</v>
      </c>
      <c r="Y192" s="31">
        <v>1</v>
      </c>
      <c r="Z192" s="31">
        <v>1</v>
      </c>
      <c r="AA192" s="30">
        <v>1</v>
      </c>
      <c r="AB192" s="26">
        <v>1</v>
      </c>
      <c r="AC192" s="25">
        <v>0</v>
      </c>
      <c r="AD192" s="26">
        <v>0</v>
      </c>
      <c r="AE192" s="26">
        <v>0</v>
      </c>
    </row>
    <row r="193" spans="1:31" ht="16.8" x14ac:dyDescent="0.3">
      <c r="A193" s="130"/>
      <c r="B193" s="33" t="s">
        <v>31</v>
      </c>
      <c r="C193" s="24" t="s">
        <v>61</v>
      </c>
      <c r="D193" s="63">
        <v>1</v>
      </c>
      <c r="E193" s="34"/>
      <c r="F193" s="34">
        <v>1</v>
      </c>
      <c r="G193" s="34">
        <v>1</v>
      </c>
      <c r="H193" s="34">
        <v>1</v>
      </c>
      <c r="I193" s="34">
        <v>1</v>
      </c>
      <c r="J193" s="34">
        <v>1</v>
      </c>
      <c r="K193" s="34">
        <v>1</v>
      </c>
      <c r="L193" s="34">
        <v>1</v>
      </c>
      <c r="M193" s="34">
        <v>1</v>
      </c>
      <c r="N193" s="34">
        <v>1</v>
      </c>
      <c r="O193" s="34">
        <v>1</v>
      </c>
      <c r="P193" s="34">
        <v>1</v>
      </c>
      <c r="Q193" s="34">
        <v>1</v>
      </c>
      <c r="R193" s="34">
        <v>1</v>
      </c>
      <c r="S193" s="34">
        <v>1</v>
      </c>
      <c r="T193" s="34">
        <v>1</v>
      </c>
      <c r="U193" s="34">
        <v>1</v>
      </c>
      <c r="V193" s="34">
        <v>1</v>
      </c>
      <c r="W193" s="34">
        <v>1</v>
      </c>
      <c r="X193" s="34">
        <v>1</v>
      </c>
      <c r="Y193" s="31">
        <v>1</v>
      </c>
      <c r="Z193" s="31">
        <v>1</v>
      </c>
      <c r="AA193" s="30">
        <v>1</v>
      </c>
      <c r="AB193" s="26">
        <v>1</v>
      </c>
      <c r="AC193" s="25">
        <v>0</v>
      </c>
      <c r="AD193" s="26">
        <v>0</v>
      </c>
      <c r="AE193" s="26">
        <v>0</v>
      </c>
    </row>
    <row r="194" spans="1:31" ht="16.8" x14ac:dyDescent="0.3">
      <c r="A194" s="130"/>
      <c r="B194" s="33" t="s">
        <v>49</v>
      </c>
      <c r="C194" s="24" t="s">
        <v>66</v>
      </c>
      <c r="D194" s="63">
        <v>1</v>
      </c>
      <c r="E194" s="34"/>
      <c r="F194" s="34">
        <v>1</v>
      </c>
      <c r="G194" s="34">
        <v>1</v>
      </c>
      <c r="H194" s="34">
        <v>1</v>
      </c>
      <c r="I194" s="34">
        <v>1</v>
      </c>
      <c r="J194" s="34">
        <v>1</v>
      </c>
      <c r="K194" s="34">
        <v>1</v>
      </c>
      <c r="L194" s="34">
        <v>1</v>
      </c>
      <c r="M194" s="34">
        <v>1</v>
      </c>
      <c r="N194" s="34">
        <v>1</v>
      </c>
      <c r="O194" s="34">
        <v>1</v>
      </c>
      <c r="P194" s="34">
        <v>1</v>
      </c>
      <c r="Q194" s="34">
        <v>1</v>
      </c>
      <c r="R194" s="34">
        <v>1</v>
      </c>
      <c r="S194" s="34">
        <v>1</v>
      </c>
      <c r="T194" s="34">
        <v>1</v>
      </c>
      <c r="U194" s="34">
        <v>1</v>
      </c>
      <c r="V194" s="34">
        <v>1</v>
      </c>
      <c r="W194" s="34">
        <v>1</v>
      </c>
      <c r="X194" s="34">
        <v>1</v>
      </c>
      <c r="Y194" s="31">
        <v>1</v>
      </c>
      <c r="Z194" s="31">
        <v>1</v>
      </c>
      <c r="AA194" s="31">
        <v>1</v>
      </c>
      <c r="AB194" s="30">
        <v>1</v>
      </c>
      <c r="AC194" s="25">
        <v>0</v>
      </c>
      <c r="AD194" s="26">
        <v>0</v>
      </c>
      <c r="AE194" s="26">
        <v>0</v>
      </c>
    </row>
    <row r="195" spans="1:31" ht="16.8" x14ac:dyDescent="0.3">
      <c r="A195" s="130"/>
      <c r="B195" s="33" t="s">
        <v>50</v>
      </c>
      <c r="C195" s="24" t="s">
        <v>40</v>
      </c>
      <c r="D195" s="63">
        <v>1</v>
      </c>
      <c r="E195" s="34"/>
      <c r="F195" s="34">
        <v>1</v>
      </c>
      <c r="G195" s="34">
        <v>1</v>
      </c>
      <c r="H195" s="34">
        <v>1</v>
      </c>
      <c r="I195" s="34">
        <v>1</v>
      </c>
      <c r="J195" s="34">
        <v>1</v>
      </c>
      <c r="K195" s="34">
        <v>1</v>
      </c>
      <c r="L195" s="34">
        <v>1</v>
      </c>
      <c r="M195" s="34">
        <v>1</v>
      </c>
      <c r="N195" s="34">
        <v>1</v>
      </c>
      <c r="O195" s="34">
        <v>1</v>
      </c>
      <c r="P195" s="34">
        <v>1</v>
      </c>
      <c r="Q195" s="34">
        <v>1</v>
      </c>
      <c r="R195" s="34">
        <v>1</v>
      </c>
      <c r="S195" s="34">
        <v>1</v>
      </c>
      <c r="T195" s="34">
        <v>1</v>
      </c>
      <c r="U195" s="34">
        <v>1</v>
      </c>
      <c r="V195" s="34">
        <v>1</v>
      </c>
      <c r="W195" s="34">
        <v>1</v>
      </c>
      <c r="X195" s="34">
        <v>1</v>
      </c>
      <c r="Y195" s="34">
        <v>1</v>
      </c>
      <c r="Z195" s="31">
        <v>1</v>
      </c>
      <c r="AA195" s="31">
        <v>1</v>
      </c>
      <c r="AB195" s="30">
        <v>1</v>
      </c>
      <c r="AC195" s="25">
        <v>0</v>
      </c>
      <c r="AD195" s="26">
        <v>0</v>
      </c>
    </row>
    <row r="196" spans="1:31" ht="16.8" x14ac:dyDescent="0.3">
      <c r="A196" s="130"/>
      <c r="B196" s="33" t="s">
        <v>51</v>
      </c>
      <c r="C196" s="24" t="s">
        <v>62</v>
      </c>
      <c r="D196" s="63">
        <v>1</v>
      </c>
      <c r="E196" s="34"/>
      <c r="F196" s="34">
        <v>1</v>
      </c>
      <c r="G196" s="34">
        <v>1</v>
      </c>
      <c r="H196" s="34">
        <v>1</v>
      </c>
      <c r="I196" s="34">
        <v>1</v>
      </c>
      <c r="J196" s="34">
        <v>1</v>
      </c>
      <c r="K196" s="34">
        <v>1</v>
      </c>
      <c r="L196" s="34">
        <v>1</v>
      </c>
      <c r="M196" s="34">
        <v>1</v>
      </c>
      <c r="N196" s="34">
        <v>1</v>
      </c>
      <c r="O196" s="34">
        <v>1</v>
      </c>
      <c r="P196" s="34">
        <v>1</v>
      </c>
      <c r="Q196" s="34">
        <v>1</v>
      </c>
      <c r="R196" s="34">
        <v>1</v>
      </c>
      <c r="S196" s="34">
        <v>1</v>
      </c>
      <c r="T196" s="34">
        <v>1</v>
      </c>
      <c r="U196" s="34">
        <v>1</v>
      </c>
      <c r="V196" s="34">
        <v>1</v>
      </c>
      <c r="W196" s="34">
        <v>1</v>
      </c>
      <c r="X196" s="34">
        <v>1</v>
      </c>
      <c r="Y196" s="34">
        <v>1</v>
      </c>
      <c r="Z196" s="31">
        <v>1</v>
      </c>
      <c r="AA196" s="31">
        <v>1</v>
      </c>
      <c r="AB196" s="30">
        <v>1</v>
      </c>
      <c r="AC196" s="25">
        <v>0</v>
      </c>
      <c r="AD196" s="26">
        <v>0</v>
      </c>
      <c r="AE196" s="26">
        <v>0</v>
      </c>
    </row>
    <row r="197" spans="1:31" ht="16.8" x14ac:dyDescent="0.3">
      <c r="A197" s="130"/>
      <c r="B197" s="33" t="s">
        <v>52</v>
      </c>
      <c r="C197" s="24" t="s">
        <v>63</v>
      </c>
      <c r="D197" s="63">
        <v>1</v>
      </c>
      <c r="E197" s="34"/>
      <c r="F197" s="34">
        <v>1</v>
      </c>
      <c r="G197" s="34">
        <v>1</v>
      </c>
      <c r="H197" s="34">
        <v>1</v>
      </c>
      <c r="I197" s="34">
        <v>1</v>
      </c>
      <c r="J197" s="34">
        <v>1</v>
      </c>
      <c r="K197" s="34">
        <v>1</v>
      </c>
      <c r="L197" s="34">
        <v>1</v>
      </c>
      <c r="M197" s="34">
        <v>1</v>
      </c>
      <c r="N197" s="34">
        <v>1</v>
      </c>
      <c r="O197" s="34">
        <v>1</v>
      </c>
      <c r="P197" s="34">
        <v>1</v>
      </c>
      <c r="Q197" s="34">
        <v>1</v>
      </c>
      <c r="R197" s="34">
        <v>1</v>
      </c>
      <c r="S197" s="34">
        <v>1</v>
      </c>
      <c r="T197" s="34">
        <v>1</v>
      </c>
      <c r="U197" s="34">
        <v>1</v>
      </c>
      <c r="V197" s="34">
        <v>1</v>
      </c>
      <c r="W197" s="34">
        <v>1</v>
      </c>
      <c r="X197" s="34">
        <v>1</v>
      </c>
      <c r="Y197" s="34">
        <v>1</v>
      </c>
      <c r="Z197" s="31">
        <v>1</v>
      </c>
      <c r="AA197" s="31">
        <v>1</v>
      </c>
      <c r="AB197" s="30">
        <v>1</v>
      </c>
      <c r="AC197" s="25">
        <v>0</v>
      </c>
      <c r="AD197" s="26">
        <v>0</v>
      </c>
      <c r="AE197" s="26">
        <v>0</v>
      </c>
    </row>
    <row r="198" spans="1:31" ht="16.8" x14ac:dyDescent="0.3">
      <c r="A198" s="130"/>
      <c r="B198" s="33" t="s">
        <v>53</v>
      </c>
      <c r="C198" s="24" t="s">
        <v>46</v>
      </c>
      <c r="D198" s="63">
        <v>1</v>
      </c>
      <c r="E198" s="34"/>
      <c r="F198" s="34">
        <v>1</v>
      </c>
      <c r="G198" s="34">
        <v>1</v>
      </c>
      <c r="H198" s="34">
        <v>1</v>
      </c>
      <c r="I198" s="34">
        <v>1</v>
      </c>
      <c r="J198" s="34">
        <v>1</v>
      </c>
      <c r="K198" s="34">
        <v>1</v>
      </c>
      <c r="L198" s="34">
        <v>1</v>
      </c>
      <c r="M198" s="34">
        <v>1</v>
      </c>
      <c r="N198" s="34">
        <v>1</v>
      </c>
      <c r="O198" s="34">
        <v>1</v>
      </c>
      <c r="P198" s="34">
        <v>1</v>
      </c>
      <c r="Q198" s="34">
        <v>1</v>
      </c>
      <c r="R198" s="34">
        <v>1</v>
      </c>
      <c r="S198" s="34">
        <v>1</v>
      </c>
      <c r="T198" s="34">
        <v>1</v>
      </c>
      <c r="U198" s="34">
        <v>1</v>
      </c>
      <c r="V198" s="34">
        <v>1</v>
      </c>
      <c r="W198" s="34">
        <v>1</v>
      </c>
      <c r="X198" s="34">
        <v>1</v>
      </c>
      <c r="Y198" s="34">
        <v>1</v>
      </c>
      <c r="Z198" s="31">
        <v>1</v>
      </c>
      <c r="AA198" s="31">
        <v>1</v>
      </c>
      <c r="AB198" s="30">
        <v>1</v>
      </c>
      <c r="AC198" s="26">
        <v>1</v>
      </c>
      <c r="AD198" s="25">
        <v>0</v>
      </c>
      <c r="AE198" s="26">
        <v>0</v>
      </c>
    </row>
    <row r="199" spans="1:31" ht="16.8" x14ac:dyDescent="0.3">
      <c r="A199" s="130"/>
      <c r="B199" s="33" t="s">
        <v>54</v>
      </c>
      <c r="C199" s="24" t="s">
        <v>41</v>
      </c>
      <c r="D199" s="63">
        <v>1</v>
      </c>
      <c r="E199" s="34"/>
      <c r="F199" s="34">
        <v>1</v>
      </c>
      <c r="G199" s="34">
        <v>1</v>
      </c>
      <c r="H199" s="34">
        <v>1</v>
      </c>
      <c r="I199" s="34">
        <v>1</v>
      </c>
      <c r="J199" s="34">
        <v>1</v>
      </c>
      <c r="K199" s="34">
        <v>1</v>
      </c>
      <c r="L199" s="34">
        <v>1</v>
      </c>
      <c r="M199" s="34">
        <v>1</v>
      </c>
      <c r="N199" s="34">
        <v>1</v>
      </c>
      <c r="O199" s="34">
        <v>1</v>
      </c>
      <c r="P199" s="34">
        <v>1</v>
      </c>
      <c r="Q199" s="34">
        <v>1</v>
      </c>
      <c r="R199" s="34">
        <v>1</v>
      </c>
      <c r="S199" s="34">
        <v>1</v>
      </c>
      <c r="T199" s="34">
        <v>1</v>
      </c>
      <c r="U199" s="34">
        <v>1</v>
      </c>
      <c r="V199" s="34">
        <v>1</v>
      </c>
      <c r="W199" s="34">
        <v>1</v>
      </c>
      <c r="X199" s="34">
        <v>1</v>
      </c>
      <c r="Y199" s="34">
        <v>1</v>
      </c>
      <c r="Z199" s="31">
        <v>1</v>
      </c>
      <c r="AA199" s="31">
        <v>1</v>
      </c>
      <c r="AB199" s="30">
        <v>1</v>
      </c>
      <c r="AC199" s="26">
        <v>1</v>
      </c>
      <c r="AD199" s="25">
        <v>0</v>
      </c>
      <c r="AE199" s="26">
        <v>0</v>
      </c>
    </row>
    <row r="200" spans="1:31" ht="16.8" x14ac:dyDescent="0.3">
      <c r="A200" s="130"/>
      <c r="B200" s="33" t="s">
        <v>55</v>
      </c>
      <c r="C200" s="24" t="s">
        <v>40</v>
      </c>
      <c r="D200" s="63">
        <v>2</v>
      </c>
      <c r="E200" s="34"/>
      <c r="F200" s="34">
        <v>1</v>
      </c>
      <c r="G200" s="34">
        <v>1</v>
      </c>
      <c r="H200" s="34">
        <v>1</v>
      </c>
      <c r="I200" s="34">
        <v>1</v>
      </c>
      <c r="J200" s="34">
        <v>1</v>
      </c>
      <c r="K200" s="34">
        <v>1</v>
      </c>
      <c r="L200" s="34">
        <v>1</v>
      </c>
      <c r="M200" s="34">
        <v>1</v>
      </c>
      <c r="N200" s="34">
        <v>1</v>
      </c>
      <c r="O200" s="34">
        <v>1</v>
      </c>
      <c r="P200" s="34">
        <v>1</v>
      </c>
      <c r="Q200" s="34">
        <v>1</v>
      </c>
      <c r="R200" s="34">
        <v>1</v>
      </c>
      <c r="S200" s="34">
        <v>1</v>
      </c>
      <c r="T200" s="34">
        <v>1</v>
      </c>
      <c r="U200" s="34">
        <v>1</v>
      </c>
      <c r="V200" s="34">
        <v>1</v>
      </c>
      <c r="W200" s="34">
        <v>1</v>
      </c>
      <c r="X200" s="34">
        <v>1</v>
      </c>
      <c r="Y200" s="34">
        <v>1</v>
      </c>
      <c r="Z200" s="31">
        <v>1</v>
      </c>
      <c r="AA200" s="31">
        <v>1</v>
      </c>
      <c r="AB200" s="30">
        <v>1</v>
      </c>
      <c r="AC200" s="61">
        <v>2</v>
      </c>
      <c r="AD200" s="25">
        <v>0</v>
      </c>
      <c r="AE200" s="26">
        <v>0</v>
      </c>
    </row>
    <row r="201" spans="1:31" ht="16.8" x14ac:dyDescent="0.3">
      <c r="A201" s="130"/>
      <c r="B201" s="33" t="s">
        <v>56</v>
      </c>
      <c r="C201" s="24" t="s">
        <v>42</v>
      </c>
      <c r="D201" s="63">
        <v>1</v>
      </c>
      <c r="E201" s="34"/>
      <c r="F201" s="34">
        <v>1</v>
      </c>
      <c r="G201" s="34">
        <v>1</v>
      </c>
      <c r="H201" s="34">
        <v>1</v>
      </c>
      <c r="I201" s="34">
        <v>1</v>
      </c>
      <c r="J201" s="34">
        <v>1</v>
      </c>
      <c r="K201" s="34">
        <v>1</v>
      </c>
      <c r="L201" s="34">
        <v>1</v>
      </c>
      <c r="M201" s="34">
        <v>1</v>
      </c>
      <c r="N201" s="34">
        <v>1</v>
      </c>
      <c r="O201" s="34">
        <v>1</v>
      </c>
      <c r="P201" s="34">
        <v>1</v>
      </c>
      <c r="Q201" s="34">
        <v>1</v>
      </c>
      <c r="R201" s="34">
        <v>1</v>
      </c>
      <c r="S201" s="34">
        <v>1</v>
      </c>
      <c r="T201" s="34">
        <v>1</v>
      </c>
      <c r="U201" s="34">
        <v>1</v>
      </c>
      <c r="V201" s="34">
        <v>1</v>
      </c>
      <c r="W201" s="34">
        <v>1</v>
      </c>
      <c r="X201" s="34">
        <v>1</v>
      </c>
      <c r="Y201" s="34">
        <v>1</v>
      </c>
      <c r="Z201" s="31">
        <v>1</v>
      </c>
      <c r="AA201" s="31">
        <v>1</v>
      </c>
      <c r="AB201" s="30">
        <v>1</v>
      </c>
      <c r="AC201" s="26">
        <v>1</v>
      </c>
      <c r="AD201" s="25">
        <v>0</v>
      </c>
      <c r="AE201" s="26">
        <v>0</v>
      </c>
    </row>
    <row r="202" spans="1:31" ht="16.8" x14ac:dyDescent="0.3">
      <c r="A202" s="130"/>
      <c r="B202" s="33" t="s">
        <v>57</v>
      </c>
      <c r="C202" s="24" t="s">
        <v>70</v>
      </c>
      <c r="D202" s="63">
        <v>1</v>
      </c>
      <c r="E202" s="34"/>
      <c r="F202" s="34">
        <v>1</v>
      </c>
      <c r="G202" s="34">
        <v>1</v>
      </c>
      <c r="H202" s="34">
        <v>1</v>
      </c>
      <c r="I202" s="34">
        <v>1</v>
      </c>
      <c r="J202" s="34">
        <v>1</v>
      </c>
      <c r="K202" s="34">
        <v>1</v>
      </c>
      <c r="L202" s="34">
        <v>1</v>
      </c>
      <c r="M202" s="34">
        <v>1</v>
      </c>
      <c r="N202" s="34">
        <v>1</v>
      </c>
      <c r="O202" s="34">
        <v>1</v>
      </c>
      <c r="P202" s="34">
        <v>1</v>
      </c>
      <c r="Q202" s="34">
        <v>1</v>
      </c>
      <c r="R202" s="34">
        <v>1</v>
      </c>
      <c r="S202" s="34">
        <v>1</v>
      </c>
      <c r="T202" s="34">
        <v>1</v>
      </c>
      <c r="U202" s="34">
        <v>1</v>
      </c>
      <c r="V202" s="34">
        <v>1</v>
      </c>
      <c r="W202" s="34">
        <v>1</v>
      </c>
      <c r="X202" s="34">
        <v>1</v>
      </c>
      <c r="Y202" s="34">
        <v>1</v>
      </c>
      <c r="Z202" s="31">
        <v>1</v>
      </c>
      <c r="AA202" s="31">
        <v>1</v>
      </c>
      <c r="AB202" s="30">
        <v>1</v>
      </c>
      <c r="AC202" s="26">
        <v>1</v>
      </c>
      <c r="AD202" s="25">
        <v>0</v>
      </c>
      <c r="AE202" s="26">
        <v>0</v>
      </c>
    </row>
    <row r="203" spans="1:31" ht="16.8" x14ac:dyDescent="0.3">
      <c r="A203" s="130"/>
      <c r="B203" s="33" t="s">
        <v>58</v>
      </c>
      <c r="C203" s="24" t="s">
        <v>71</v>
      </c>
      <c r="D203" s="63">
        <v>2</v>
      </c>
      <c r="E203" s="34"/>
      <c r="F203" s="34">
        <v>1</v>
      </c>
      <c r="G203" s="34">
        <v>1</v>
      </c>
      <c r="H203" s="34">
        <v>1</v>
      </c>
      <c r="I203" s="34">
        <v>1</v>
      </c>
      <c r="J203" s="34">
        <v>1</v>
      </c>
      <c r="K203" s="34">
        <v>1</v>
      </c>
      <c r="L203" s="34">
        <v>1</v>
      </c>
      <c r="M203" s="34">
        <v>1</v>
      </c>
      <c r="N203" s="34">
        <v>1</v>
      </c>
      <c r="O203" s="34">
        <v>1</v>
      </c>
      <c r="P203" s="34">
        <v>1</v>
      </c>
      <c r="Q203" s="34">
        <v>1</v>
      </c>
      <c r="R203" s="34">
        <v>1</v>
      </c>
      <c r="S203" s="34">
        <v>1</v>
      </c>
      <c r="T203" s="34">
        <v>1</v>
      </c>
      <c r="U203" s="34">
        <v>1</v>
      </c>
      <c r="V203" s="34">
        <v>1</v>
      </c>
      <c r="W203" s="34">
        <v>1</v>
      </c>
      <c r="X203" s="34">
        <v>1</v>
      </c>
      <c r="Y203" s="34">
        <v>1</v>
      </c>
      <c r="Z203" s="31">
        <v>1</v>
      </c>
      <c r="AA203" s="31">
        <v>1</v>
      </c>
      <c r="AB203" s="30">
        <v>1</v>
      </c>
      <c r="AC203" s="61">
        <v>2</v>
      </c>
      <c r="AD203" s="25">
        <v>0</v>
      </c>
      <c r="AE203" s="26">
        <v>0</v>
      </c>
    </row>
    <row r="204" spans="1:31" ht="16.8" x14ac:dyDescent="0.3">
      <c r="A204" s="130"/>
      <c r="B204" s="33" t="s">
        <v>59</v>
      </c>
      <c r="C204" s="52" t="s">
        <v>68</v>
      </c>
      <c r="D204" s="63">
        <v>2</v>
      </c>
      <c r="E204" s="34"/>
      <c r="F204" s="34">
        <v>1</v>
      </c>
      <c r="G204" s="34">
        <v>1</v>
      </c>
      <c r="H204" s="34">
        <v>1</v>
      </c>
      <c r="I204" s="34">
        <v>1</v>
      </c>
      <c r="J204" s="34">
        <v>1</v>
      </c>
      <c r="K204" s="34">
        <v>1</v>
      </c>
      <c r="L204" s="34">
        <v>1</v>
      </c>
      <c r="M204" s="34">
        <v>1</v>
      </c>
      <c r="N204" s="34">
        <v>1</v>
      </c>
      <c r="O204" s="34">
        <v>1</v>
      </c>
      <c r="P204" s="34">
        <v>1</v>
      </c>
      <c r="Q204" s="34">
        <v>1</v>
      </c>
      <c r="R204" s="34">
        <v>1</v>
      </c>
      <c r="S204" s="34">
        <v>1</v>
      </c>
      <c r="T204" s="34">
        <v>1</v>
      </c>
      <c r="U204" s="34">
        <v>1</v>
      </c>
      <c r="V204" s="34">
        <v>1</v>
      </c>
      <c r="W204" s="34">
        <v>1</v>
      </c>
      <c r="X204" s="34">
        <v>1</v>
      </c>
      <c r="Y204" s="34">
        <v>1</v>
      </c>
      <c r="Z204" s="31">
        <v>1</v>
      </c>
      <c r="AA204" s="31">
        <v>1</v>
      </c>
      <c r="AB204" s="30">
        <v>1</v>
      </c>
      <c r="AC204" s="61">
        <v>2</v>
      </c>
      <c r="AD204" s="25">
        <v>0</v>
      </c>
      <c r="AE204" s="26">
        <v>0</v>
      </c>
    </row>
    <row r="205" spans="1:31" ht="16.8" x14ac:dyDescent="0.3">
      <c r="A205" s="131" t="s">
        <v>38</v>
      </c>
      <c r="B205" s="131"/>
      <c r="C205" s="44" t="s">
        <v>25</v>
      </c>
      <c r="D205" s="45">
        <v>2</v>
      </c>
      <c r="E205" s="46"/>
      <c r="F205" s="46">
        <v>4</v>
      </c>
      <c r="G205" s="46">
        <v>4</v>
      </c>
      <c r="H205" s="46">
        <v>4</v>
      </c>
      <c r="I205" s="46">
        <v>4</v>
      </c>
      <c r="J205" s="46">
        <v>4</v>
      </c>
      <c r="K205" s="46">
        <v>4</v>
      </c>
      <c r="L205" s="46">
        <v>4</v>
      </c>
      <c r="M205" s="46">
        <v>4</v>
      </c>
      <c r="N205" s="46">
        <v>4</v>
      </c>
      <c r="O205" s="46">
        <v>4</v>
      </c>
      <c r="P205" s="46">
        <v>4</v>
      </c>
      <c r="Q205" s="46">
        <v>4</v>
      </c>
      <c r="R205" s="46">
        <v>4</v>
      </c>
      <c r="S205" s="46">
        <v>4</v>
      </c>
      <c r="T205" s="46">
        <v>4</v>
      </c>
      <c r="U205" s="46">
        <v>4</v>
      </c>
      <c r="V205" s="46">
        <v>4</v>
      </c>
      <c r="W205" s="46">
        <v>4</v>
      </c>
      <c r="X205" s="46">
        <v>4</v>
      </c>
      <c r="Y205" s="46">
        <v>4</v>
      </c>
      <c r="Z205" s="46">
        <v>4</v>
      </c>
      <c r="AA205" s="46">
        <v>4</v>
      </c>
      <c r="AB205" s="46">
        <v>4</v>
      </c>
      <c r="AC205" s="46">
        <v>4</v>
      </c>
      <c r="AD205" s="60">
        <v>2</v>
      </c>
      <c r="AE205" s="25">
        <v>0</v>
      </c>
    </row>
    <row r="206" spans="1:31" ht="16.8" x14ac:dyDescent="0.3">
      <c r="A206" s="132" t="s">
        <v>39</v>
      </c>
      <c r="B206" s="133"/>
      <c r="C206" s="47" t="s">
        <v>25</v>
      </c>
      <c r="D206" s="48">
        <v>2</v>
      </c>
      <c r="E206" s="37"/>
      <c r="F206" s="37">
        <v>4</v>
      </c>
      <c r="G206" s="37">
        <v>4</v>
      </c>
      <c r="H206" s="37">
        <v>4</v>
      </c>
      <c r="I206" s="37">
        <v>4</v>
      </c>
      <c r="J206" s="37">
        <v>4</v>
      </c>
      <c r="K206" s="37">
        <v>4</v>
      </c>
      <c r="L206" s="37">
        <v>4</v>
      </c>
      <c r="M206" s="37">
        <v>4</v>
      </c>
      <c r="N206" s="37">
        <v>4</v>
      </c>
      <c r="O206" s="37">
        <v>4</v>
      </c>
      <c r="P206" s="37">
        <v>4</v>
      </c>
      <c r="Q206" s="37">
        <v>4</v>
      </c>
      <c r="R206" s="37">
        <v>4</v>
      </c>
      <c r="S206" s="37">
        <v>4</v>
      </c>
      <c r="T206" s="37">
        <v>4</v>
      </c>
      <c r="U206" s="37">
        <v>4</v>
      </c>
      <c r="V206" s="37">
        <v>4</v>
      </c>
      <c r="W206" s="37">
        <v>4</v>
      </c>
      <c r="X206" s="37">
        <v>4</v>
      </c>
      <c r="Y206" s="37">
        <v>4</v>
      </c>
      <c r="Z206" s="37">
        <v>4</v>
      </c>
      <c r="AA206" s="37">
        <v>4</v>
      </c>
      <c r="AB206" s="37">
        <v>4</v>
      </c>
      <c r="AC206" s="37">
        <v>4</v>
      </c>
      <c r="AD206" s="60">
        <v>2</v>
      </c>
      <c r="AE206" s="25">
        <v>0</v>
      </c>
    </row>
    <row r="207" spans="1:31" ht="16.8" x14ac:dyDescent="0.3">
      <c r="A207" s="126" t="s">
        <v>8</v>
      </c>
      <c r="B207" s="127"/>
      <c r="C207" s="128"/>
      <c r="D207" s="26">
        <f>SUM(D114:D206)</f>
        <v>373</v>
      </c>
      <c r="E207" s="37"/>
      <c r="F207" s="37">
        <f t="shared" ref="F207:AE207" si="25">SUM(F114:F206)</f>
        <v>361</v>
      </c>
      <c r="G207" s="37">
        <f>SUM(G114:G206)</f>
        <v>337</v>
      </c>
      <c r="H207" s="37">
        <f t="shared" si="25"/>
        <v>330</v>
      </c>
      <c r="I207" s="37">
        <f t="shared" si="25"/>
        <v>315</v>
      </c>
      <c r="J207" s="37">
        <f t="shared" si="25"/>
        <v>301</v>
      </c>
      <c r="K207" s="37">
        <f t="shared" si="25"/>
        <v>298</v>
      </c>
      <c r="L207" s="37">
        <f t="shared" si="25"/>
        <v>266</v>
      </c>
      <c r="M207" s="37">
        <f t="shared" si="25"/>
        <v>232</v>
      </c>
      <c r="N207" s="37">
        <f t="shared" si="25"/>
        <v>226</v>
      </c>
      <c r="O207" s="37">
        <f t="shared" si="25"/>
        <v>199</v>
      </c>
      <c r="P207" s="37">
        <f t="shared" si="25"/>
        <v>173</v>
      </c>
      <c r="Q207" s="37">
        <f t="shared" si="25"/>
        <v>174</v>
      </c>
      <c r="R207" s="29">
        <f t="shared" si="25"/>
        <v>131</v>
      </c>
      <c r="S207" s="50">
        <f t="shared" si="25"/>
        <v>92</v>
      </c>
      <c r="T207" s="50">
        <f t="shared" si="25"/>
        <v>89</v>
      </c>
      <c r="U207" s="50">
        <f t="shared" si="25"/>
        <v>81</v>
      </c>
      <c r="V207" s="50">
        <f t="shared" si="25"/>
        <v>86</v>
      </c>
      <c r="W207" s="50">
        <f t="shared" si="25"/>
        <v>65</v>
      </c>
      <c r="X207" s="50">
        <f t="shared" si="25"/>
        <v>59</v>
      </c>
      <c r="Y207" s="50">
        <f t="shared" si="25"/>
        <v>56</v>
      </c>
      <c r="Z207" s="50">
        <f t="shared" si="25"/>
        <v>45</v>
      </c>
      <c r="AA207" s="50">
        <f t="shared" si="25"/>
        <v>40</v>
      </c>
      <c r="AB207" s="50">
        <f t="shared" si="25"/>
        <v>22</v>
      </c>
      <c r="AC207" s="50">
        <f t="shared" si="25"/>
        <v>18</v>
      </c>
      <c r="AD207" s="50">
        <f t="shared" si="25"/>
        <v>4</v>
      </c>
      <c r="AE207" s="50">
        <f t="shared" si="25"/>
        <v>0</v>
      </c>
    </row>
    <row r="210" spans="4:31" ht="16.8" x14ac:dyDescent="0.3">
      <c r="D210" s="129" t="s">
        <v>72</v>
      </c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</row>
    <row r="211" spans="4:31" ht="52.2" x14ac:dyDescent="0.3">
      <c r="D211" s="65"/>
      <c r="E211" s="66"/>
      <c r="F211" s="21">
        <v>46103</v>
      </c>
      <c r="G211" s="21">
        <f t="shared" ref="G211" si="26">F211+1</f>
        <v>46104</v>
      </c>
      <c r="H211" s="21">
        <f t="shared" ref="H211" si="27">G211+1</f>
        <v>46105</v>
      </c>
      <c r="I211" s="21">
        <f t="shared" ref="I211" si="28">H211+1</f>
        <v>46106</v>
      </c>
      <c r="J211" s="21">
        <f t="shared" ref="J211" si="29">I211+1</f>
        <v>46107</v>
      </c>
      <c r="K211" s="21">
        <f t="shared" ref="K211" si="30">J211+1</f>
        <v>46108</v>
      </c>
      <c r="L211" s="21">
        <f t="shared" ref="L211" si="31">K211+1</f>
        <v>46109</v>
      </c>
      <c r="M211" s="21">
        <f t="shared" ref="M211" si="32">L211+1</f>
        <v>46110</v>
      </c>
      <c r="N211" s="21">
        <f t="shared" ref="N211" si="33">M211+1</f>
        <v>46111</v>
      </c>
      <c r="O211" s="21">
        <f>N211+1</f>
        <v>46112</v>
      </c>
      <c r="P211" s="21">
        <f t="shared" ref="P211" si="34">O211+1</f>
        <v>46113</v>
      </c>
      <c r="Q211" s="21">
        <f t="shared" ref="Q211" si="35">P211+1</f>
        <v>46114</v>
      </c>
      <c r="R211" s="21">
        <f t="shared" ref="R211" si="36">Q211+1</f>
        <v>46115</v>
      </c>
      <c r="S211" s="21">
        <f t="shared" ref="S211" si="37">R211+1</f>
        <v>46116</v>
      </c>
      <c r="T211" s="21">
        <f>S211+1</f>
        <v>46117</v>
      </c>
      <c r="U211" s="21">
        <f t="shared" ref="U211" si="38">T211+1</f>
        <v>46118</v>
      </c>
      <c r="V211" s="21">
        <f t="shared" ref="V211" si="39">U211+1</f>
        <v>46119</v>
      </c>
      <c r="W211" s="21">
        <f t="shared" ref="W211" si="40">V211+1</f>
        <v>46120</v>
      </c>
      <c r="X211" s="21">
        <f t="shared" ref="X211" si="41">W211+1</f>
        <v>46121</v>
      </c>
      <c r="Y211" s="21">
        <f t="shared" ref="Y211" si="42">X211+1</f>
        <v>46122</v>
      </c>
      <c r="Z211" s="21">
        <f t="shared" ref="Z211" si="43">Y211+1</f>
        <v>46123</v>
      </c>
      <c r="AA211" s="21">
        <f t="shared" ref="AA211" si="44">Z211+1</f>
        <v>46124</v>
      </c>
      <c r="AB211" s="21">
        <f t="shared" ref="AB211" si="45">AA211+1</f>
        <v>46125</v>
      </c>
      <c r="AC211" s="21">
        <f t="shared" ref="AC211" si="46">AB211+1</f>
        <v>46126</v>
      </c>
      <c r="AD211" s="70">
        <f t="shared" ref="AD211:AE211" si="47">AC211+1</f>
        <v>46127</v>
      </c>
      <c r="AE211" s="71">
        <f t="shared" si="47"/>
        <v>46128</v>
      </c>
    </row>
    <row r="212" spans="4:31" ht="16.8" x14ac:dyDescent="0.3">
      <c r="D212" s="67" t="s">
        <v>9</v>
      </c>
      <c r="E212" s="37">
        <v>362</v>
      </c>
      <c r="F212" s="37">
        <f>F110</f>
        <v>361</v>
      </c>
      <c r="G212" s="37">
        <f t="shared" ref="G212:AD212" si="48">G110</f>
        <v>337</v>
      </c>
      <c r="H212" s="37">
        <f t="shared" si="48"/>
        <v>331</v>
      </c>
      <c r="I212" s="37">
        <f t="shared" si="48"/>
        <v>313</v>
      </c>
      <c r="J212" s="37">
        <f t="shared" si="48"/>
        <v>303</v>
      </c>
      <c r="K212" s="37">
        <f t="shared" si="48"/>
        <v>293</v>
      </c>
      <c r="L212" s="37">
        <f t="shared" si="48"/>
        <v>268</v>
      </c>
      <c r="M212" s="37">
        <f t="shared" si="48"/>
        <v>234</v>
      </c>
      <c r="N212" s="37">
        <f t="shared" si="48"/>
        <v>226</v>
      </c>
      <c r="O212" s="37">
        <f t="shared" si="48"/>
        <v>203</v>
      </c>
      <c r="P212" s="37">
        <f t="shared" si="48"/>
        <v>173</v>
      </c>
      <c r="Q212" s="37">
        <f t="shared" si="48"/>
        <v>172</v>
      </c>
      <c r="R212" s="37">
        <f t="shared" si="48"/>
        <v>129</v>
      </c>
      <c r="S212" s="37">
        <f t="shared" si="48"/>
        <v>94</v>
      </c>
      <c r="T212" s="37">
        <f t="shared" si="48"/>
        <v>89</v>
      </c>
      <c r="U212" s="37">
        <f t="shared" si="48"/>
        <v>81</v>
      </c>
      <c r="V212" s="37">
        <f t="shared" si="48"/>
        <v>79</v>
      </c>
      <c r="W212" s="37">
        <f t="shared" si="48"/>
        <v>68</v>
      </c>
      <c r="X212" s="37">
        <f t="shared" si="48"/>
        <v>58</v>
      </c>
      <c r="Y212" s="37">
        <f t="shared" si="48"/>
        <v>51</v>
      </c>
      <c r="Z212" s="37">
        <f t="shared" si="48"/>
        <v>44</v>
      </c>
      <c r="AA212" s="37">
        <f t="shared" si="48"/>
        <v>36</v>
      </c>
      <c r="AB212" s="37">
        <f t="shared" si="48"/>
        <v>22</v>
      </c>
      <c r="AC212" s="37">
        <f t="shared" si="48"/>
        <v>15</v>
      </c>
      <c r="AD212" s="29">
        <f t="shared" si="48"/>
        <v>8</v>
      </c>
      <c r="AE212" s="50">
        <v>0</v>
      </c>
    </row>
    <row r="213" spans="4:31" ht="16.8" x14ac:dyDescent="0.3">
      <c r="D213" s="67" t="s">
        <v>8</v>
      </c>
      <c r="E213" s="26">
        <v>373</v>
      </c>
      <c r="F213" s="37">
        <f>F207</f>
        <v>361</v>
      </c>
      <c r="G213" s="37">
        <f t="shared" ref="G213:AD213" si="49">G207</f>
        <v>337</v>
      </c>
      <c r="H213" s="37">
        <f t="shared" si="49"/>
        <v>330</v>
      </c>
      <c r="I213" s="37">
        <f t="shared" si="49"/>
        <v>315</v>
      </c>
      <c r="J213" s="37">
        <f t="shared" si="49"/>
        <v>301</v>
      </c>
      <c r="K213" s="37">
        <f t="shared" si="49"/>
        <v>298</v>
      </c>
      <c r="L213" s="37">
        <f t="shared" si="49"/>
        <v>266</v>
      </c>
      <c r="M213" s="37">
        <f t="shared" si="49"/>
        <v>232</v>
      </c>
      <c r="N213" s="37">
        <f t="shared" si="49"/>
        <v>226</v>
      </c>
      <c r="O213" s="37">
        <f t="shared" si="49"/>
        <v>199</v>
      </c>
      <c r="P213" s="37">
        <f t="shared" si="49"/>
        <v>173</v>
      </c>
      <c r="Q213" s="37">
        <f t="shared" si="49"/>
        <v>174</v>
      </c>
      <c r="R213" s="37">
        <f t="shared" si="49"/>
        <v>131</v>
      </c>
      <c r="S213" s="37">
        <f t="shared" si="49"/>
        <v>92</v>
      </c>
      <c r="T213" s="37">
        <f t="shared" si="49"/>
        <v>89</v>
      </c>
      <c r="U213" s="37">
        <f t="shared" si="49"/>
        <v>81</v>
      </c>
      <c r="V213" s="37">
        <f t="shared" si="49"/>
        <v>86</v>
      </c>
      <c r="W213" s="37">
        <f t="shared" si="49"/>
        <v>65</v>
      </c>
      <c r="X213" s="37">
        <f t="shared" si="49"/>
        <v>59</v>
      </c>
      <c r="Y213" s="37">
        <f t="shared" si="49"/>
        <v>56</v>
      </c>
      <c r="Z213" s="37">
        <f t="shared" si="49"/>
        <v>45</v>
      </c>
      <c r="AA213" s="37">
        <f t="shared" si="49"/>
        <v>40</v>
      </c>
      <c r="AB213" s="37">
        <f t="shared" si="49"/>
        <v>22</v>
      </c>
      <c r="AC213" s="37">
        <f t="shared" si="49"/>
        <v>18</v>
      </c>
      <c r="AD213" s="29">
        <f t="shared" si="49"/>
        <v>4</v>
      </c>
      <c r="AE213" s="50">
        <v>0</v>
      </c>
    </row>
  </sheetData>
  <mergeCells count="42">
    <mergeCell ref="B1:M1"/>
    <mergeCell ref="A17:B17"/>
    <mergeCell ref="A18:B18"/>
    <mergeCell ref="A19:B19"/>
    <mergeCell ref="A20:B20"/>
    <mergeCell ref="B6:G6"/>
    <mergeCell ref="E7:G7"/>
    <mergeCell ref="E8:G8"/>
    <mergeCell ref="E9:G9"/>
    <mergeCell ref="E10:G10"/>
    <mergeCell ref="E12:G12"/>
    <mergeCell ref="B13:C13"/>
    <mergeCell ref="E13:G13"/>
    <mergeCell ref="K8:L8"/>
    <mergeCell ref="K9:L9"/>
    <mergeCell ref="K10:L10"/>
    <mergeCell ref="K11:L11"/>
    <mergeCell ref="K12:L12"/>
    <mergeCell ref="E11:G11"/>
    <mergeCell ref="A114:B114"/>
    <mergeCell ref="A115:B115"/>
    <mergeCell ref="A110:C110"/>
    <mergeCell ref="A21:A35"/>
    <mergeCell ref="A36:A50"/>
    <mergeCell ref="A51:A65"/>
    <mergeCell ref="A66:A79"/>
    <mergeCell ref="A80:A93"/>
    <mergeCell ref="A94:A107"/>
    <mergeCell ref="A108:B108"/>
    <mergeCell ref="A109:B109"/>
    <mergeCell ref="A116:B116"/>
    <mergeCell ref="A117:B117"/>
    <mergeCell ref="A118:A132"/>
    <mergeCell ref="A133:A147"/>
    <mergeCell ref="A148:A162"/>
    <mergeCell ref="A207:C207"/>
    <mergeCell ref="D210:AE210"/>
    <mergeCell ref="A163:A176"/>
    <mergeCell ref="A177:A190"/>
    <mergeCell ref="A191:A204"/>
    <mergeCell ref="A205:B205"/>
    <mergeCell ref="A206:B20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5BAC-C63C-4A0E-9345-2735DC7D1393}">
  <dimension ref="A1:AN213"/>
  <sheetViews>
    <sheetView tabSelected="1" topLeftCell="A210" zoomScale="55" zoomScaleNormal="55" workbookViewId="0">
      <selection activeCell="D210" sqref="D210:AE213"/>
    </sheetView>
  </sheetViews>
  <sheetFormatPr defaultRowHeight="14.4" x14ac:dyDescent="0.3"/>
  <cols>
    <col min="1" max="1" width="20.88671875" customWidth="1"/>
    <col min="2" max="2" width="27.5546875" customWidth="1"/>
    <col min="3" max="3" width="23.88671875" bestFit="1" customWidth="1"/>
    <col min="4" max="4" width="14.21875" bestFit="1" customWidth="1"/>
    <col min="13" max="13" width="12.88671875" customWidth="1"/>
  </cols>
  <sheetData>
    <row r="1" spans="1:32" ht="17.399999999999999" x14ac:dyDescent="0.3">
      <c r="A1" s="1" t="s">
        <v>0</v>
      </c>
      <c r="B1" s="149" t="s">
        <v>67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32" ht="16.8" x14ac:dyDescent="0.3">
      <c r="A2" s="2" t="s">
        <v>1</v>
      </c>
      <c r="B2" s="68" t="s">
        <v>73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</row>
    <row r="3" spans="1:32" ht="16.8" x14ac:dyDescent="0.3">
      <c r="A3" s="1" t="s">
        <v>3</v>
      </c>
      <c r="B3" s="69">
        <v>46128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</row>
    <row r="4" spans="1:32" ht="16.8" x14ac:dyDescent="0.3">
      <c r="A4" s="1" t="s">
        <v>4</v>
      </c>
      <c r="B4" s="69">
        <v>46153</v>
      </c>
      <c r="C4" s="3"/>
      <c r="D4" s="3"/>
      <c r="E4" s="3"/>
      <c r="F4" s="3"/>
      <c r="G4" s="3"/>
      <c r="H4" s="3"/>
      <c r="I4" s="4"/>
      <c r="J4" s="4"/>
      <c r="K4" s="4"/>
      <c r="L4" s="4"/>
      <c r="M4" s="4"/>
    </row>
    <row r="6" spans="1:32" x14ac:dyDescent="0.3">
      <c r="B6" s="150" t="s">
        <v>74</v>
      </c>
      <c r="C6" s="151"/>
      <c r="D6" s="151"/>
      <c r="E6" s="151"/>
      <c r="F6" s="151"/>
      <c r="G6" s="137"/>
    </row>
    <row r="7" spans="1:32" ht="16.8" x14ac:dyDescent="0.3">
      <c r="B7" s="5" t="s">
        <v>6</v>
      </c>
      <c r="C7" s="6" t="s">
        <v>7</v>
      </c>
      <c r="D7" s="5" t="s">
        <v>8</v>
      </c>
      <c r="E7" s="152" t="s">
        <v>9</v>
      </c>
      <c r="F7" s="153"/>
      <c r="G7" s="154"/>
    </row>
    <row r="8" spans="1:32" ht="16.8" x14ac:dyDescent="0.3">
      <c r="B8" s="7">
        <v>1</v>
      </c>
      <c r="C8" s="8" t="s">
        <v>11</v>
      </c>
      <c r="D8" s="9">
        <f>SUM(SUM(D114,D116,D117,D132,D147,D162,D205,D206)/5+SUM(D148,D151,D155,D177,D180,D184)/3+SUM(D153,D156,D158,D182,D185,D187,D160,D189)/2+SUM(D118,D123,D129,D133,D139,D163,D169,D191,D197,D130,D146,D204,D176))</f>
        <v>78.233333333333334</v>
      </c>
      <c r="E8" s="146">
        <f>SUM(SUM(E17,E19,E20,E35,E50,E65,E108,E109)/5+SUM(E51,E54,E58,E80,E83,E87)/3+SUM(E56,E59,E61,E85,E88,E90,E63,E92)/2+SUM(E21,E26,E36,E42,E66,E72,E94,E100,E32,E107,E79,E49,E33))</f>
        <v>76</v>
      </c>
      <c r="F8" s="147"/>
      <c r="G8" s="148"/>
      <c r="J8" s="13"/>
      <c r="K8" s="143" t="s">
        <v>16</v>
      </c>
      <c r="L8" s="144"/>
    </row>
    <row r="9" spans="1:32" ht="16.8" x14ac:dyDescent="0.3">
      <c r="B9" s="10">
        <v>2</v>
      </c>
      <c r="C9" s="11" t="s">
        <v>12</v>
      </c>
      <c r="D9" s="9">
        <f>SUM(SUM(D114,D116,D117,D132,D147,D162,D205,D206)/5+SUM(D148,D152,D154,D155,D159,D177,D181,D184,D188,D183,D161,D190)/3+SUM(D125,D150,D156,D179,D185)/2+SUM(D200,D198,D193,D172,D170,D165,D142,D140,D135,D127,D120))</f>
        <v>83.4</v>
      </c>
      <c r="E9" s="146">
        <f>SUM(SUM(E17,E19,E20,E35,E50,E65,E108,E109)/5+SUM(E51,E55,E57,E58,E62,E80,E84,E86,E87,E91,E64,E93)/3+SUM(E28,E53,E59,E82,E88)/2+SUM(E23,E30,E38,E43,E45,E68,E73,E75,E96,E101,E103))</f>
        <v>77.166666666666671</v>
      </c>
      <c r="F9" s="147"/>
      <c r="G9" s="148"/>
      <c r="J9" s="14"/>
      <c r="K9" s="143" t="s">
        <v>17</v>
      </c>
      <c r="L9" s="144"/>
    </row>
    <row r="10" spans="1:32" ht="16.8" x14ac:dyDescent="0.3">
      <c r="B10" s="10">
        <v>3</v>
      </c>
      <c r="C10" s="11" t="s">
        <v>13</v>
      </c>
      <c r="D10" s="9">
        <f>SUM(SUM(D114,D116,D117,D132,D147,D162,D205,D206)/5+SUM(D155,D157,D159,D184,D186,D188,D161,D190)/3+SUM(D125,D149,D150,D153,D179,D178,D182)/2+SUM(D202,D195,D192,D174,D167,D164,D144,D137,D134,D128,D119,D131))</f>
        <v>77.400000000000006</v>
      </c>
      <c r="E10" s="146">
        <f>SUM(SUM(E17,E19,E20,E35,E50,E65,E108,E109)/5+SUM(E58,E60,E62,E87,E89,E91,E64,E93)/3+SUM(E28,E52,E53,E56,E81,E82,E85)/2+SUM(E22,E31,E37,E40,E47,E67,E70,E77,E95,E98,E105,E34))</f>
        <v>77.833333333333329</v>
      </c>
      <c r="F10" s="147"/>
      <c r="G10" s="148"/>
      <c r="J10" s="15"/>
      <c r="K10" s="143" t="s">
        <v>18</v>
      </c>
      <c r="L10" s="144"/>
    </row>
    <row r="11" spans="1:32" ht="16.8" x14ac:dyDescent="0.3">
      <c r="B11" s="10">
        <v>4</v>
      </c>
      <c r="C11" s="11" t="s">
        <v>14</v>
      </c>
      <c r="D11" s="9">
        <f>SUM(SUM(D114,D116,D117,D132,D147,D162,D205,D206)/5+SUM(D151,D152,D154,D157,D180,D181,D183,D186)/3+SUM(D121,D126,D149,D158,D178,D187,D160,D189)/2+SUM(D115,D122,D136,D141,D166,D171,D194,D199))</f>
        <v>69.066666666666663</v>
      </c>
      <c r="E11" s="146">
        <f>SUM(SUM(E17,E19,E20,E35,E50,E65,E108,E109)/5+SUM(E54,E57,E55,E60,E83,E84,E86,E89)/3+SUM(E24,E29,E52,E61,E81,E90,E63,E92)/2+SUM(E18,E25,E39,E44,E69,E74,E97,E102))</f>
        <v>68.166666666666671</v>
      </c>
      <c r="F11" s="147"/>
      <c r="G11" s="148"/>
      <c r="J11" s="16"/>
      <c r="K11" s="143" t="s">
        <v>19</v>
      </c>
      <c r="L11" s="144"/>
    </row>
    <row r="12" spans="1:32" ht="16.8" x14ac:dyDescent="0.3">
      <c r="B12" s="10">
        <v>5</v>
      </c>
      <c r="C12" s="11" t="s">
        <v>15</v>
      </c>
      <c r="D12" s="9">
        <f>SUM(SUM(D114,D116,D117,D132,D147,D162,D205,D206)/5+SUM(D148,D151,D152,D154,D157,D159,D177,D180,D181,D183,D186,D188,D161,D190)/3+SUM(D121,D126)/2+SUM(D124,D138,D143,D168,D173,D196,D201,D175,D145,D203))</f>
        <v>61.9</v>
      </c>
      <c r="E12" s="146">
        <f>SUM(SUM(E17,E19,E20,E35,E50,E65,E108,E109)/5+SUM(E51,E54,E57,E55,E60,E62,E80,E83,E84,E86,E89,E91,E64,E93)/3+SUM(E24,E29)/2+SUM(E27,E41,E46,E71,E76,E99,E104,E48,E78,E106))</f>
        <v>60.833333333333336</v>
      </c>
      <c r="F12" s="147"/>
      <c r="G12" s="148"/>
      <c r="J12" s="17"/>
      <c r="K12" s="145" t="s">
        <v>20</v>
      </c>
      <c r="L12" s="145"/>
    </row>
    <row r="13" spans="1:32" ht="16.8" x14ac:dyDescent="0.3">
      <c r="B13" s="155" t="s">
        <v>10</v>
      </c>
      <c r="C13" s="156"/>
      <c r="D13" s="12">
        <f>SUM(D8:D12)</f>
        <v>370</v>
      </c>
      <c r="E13" s="155">
        <f>SUM(E8:G12)</f>
        <v>360</v>
      </c>
      <c r="F13" s="156"/>
      <c r="G13" s="156"/>
    </row>
    <row r="16" spans="1:32" ht="52.2" x14ac:dyDescent="0.3">
      <c r="A16" s="18" t="s">
        <v>21</v>
      </c>
      <c r="B16" s="19" t="s">
        <v>22</v>
      </c>
      <c r="C16" s="20" t="s">
        <v>23</v>
      </c>
      <c r="D16" s="20" t="s">
        <v>8</v>
      </c>
      <c r="E16" s="20" t="s">
        <v>9</v>
      </c>
      <c r="F16" s="21">
        <v>46128</v>
      </c>
      <c r="G16" s="21">
        <f t="shared" ref="G16:V16" si="0">F16+1</f>
        <v>46129</v>
      </c>
      <c r="H16" s="21">
        <f t="shared" si="0"/>
        <v>46130</v>
      </c>
      <c r="I16" s="21">
        <f t="shared" si="0"/>
        <v>46131</v>
      </c>
      <c r="J16" s="21">
        <f t="shared" si="0"/>
        <v>46132</v>
      </c>
      <c r="K16" s="21">
        <f t="shared" si="0"/>
        <v>46133</v>
      </c>
      <c r="L16" s="21">
        <f t="shared" si="0"/>
        <v>46134</v>
      </c>
      <c r="M16" s="21">
        <f t="shared" si="0"/>
        <v>46135</v>
      </c>
      <c r="N16" s="21">
        <f t="shared" si="0"/>
        <v>46136</v>
      </c>
      <c r="O16" s="21">
        <f>N16+1</f>
        <v>46137</v>
      </c>
      <c r="P16" s="21">
        <f t="shared" si="0"/>
        <v>46138</v>
      </c>
      <c r="Q16" s="21">
        <f t="shared" si="0"/>
        <v>46139</v>
      </c>
      <c r="R16" s="21">
        <f t="shared" si="0"/>
        <v>46140</v>
      </c>
      <c r="S16" s="21">
        <f t="shared" si="0"/>
        <v>46141</v>
      </c>
      <c r="T16" s="21">
        <f>S16+1</f>
        <v>46142</v>
      </c>
      <c r="U16" s="21">
        <f t="shared" si="0"/>
        <v>46143</v>
      </c>
      <c r="V16" s="21">
        <f t="shared" si="0"/>
        <v>46144</v>
      </c>
      <c r="W16" s="21">
        <f>V16+1</f>
        <v>46145</v>
      </c>
      <c r="X16" s="21">
        <f t="shared" ref="X16:AF16" si="1">W16+1</f>
        <v>46146</v>
      </c>
      <c r="Y16" s="21">
        <f t="shared" si="1"/>
        <v>46147</v>
      </c>
      <c r="Z16" s="21">
        <f t="shared" si="1"/>
        <v>46148</v>
      </c>
      <c r="AA16" s="21">
        <f t="shared" si="1"/>
        <v>46149</v>
      </c>
      <c r="AB16" s="21">
        <f t="shared" si="1"/>
        <v>46150</v>
      </c>
      <c r="AC16" s="21">
        <f t="shared" si="1"/>
        <v>46151</v>
      </c>
      <c r="AD16" s="21">
        <f t="shared" si="1"/>
        <v>46152</v>
      </c>
      <c r="AE16" s="21">
        <f t="shared" si="1"/>
        <v>46153</v>
      </c>
      <c r="AF16" s="21">
        <f t="shared" si="1"/>
        <v>46154</v>
      </c>
    </row>
    <row r="17" spans="1:32" ht="16.8" x14ac:dyDescent="0.3">
      <c r="A17" s="134" t="s">
        <v>75</v>
      </c>
      <c r="B17" s="135"/>
      <c r="C17" s="22" t="s">
        <v>25</v>
      </c>
      <c r="D17" s="23"/>
      <c r="E17" s="24">
        <v>8</v>
      </c>
      <c r="F17" s="24">
        <v>8</v>
      </c>
      <c r="G17" s="25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</row>
    <row r="18" spans="1:32" ht="16.8" x14ac:dyDescent="0.3">
      <c r="A18" s="134" t="s">
        <v>26</v>
      </c>
      <c r="B18" s="135"/>
      <c r="C18" s="27" t="s">
        <v>40</v>
      </c>
      <c r="D18" s="28"/>
      <c r="E18" s="24">
        <v>2</v>
      </c>
      <c r="F18" s="24">
        <v>2</v>
      </c>
      <c r="G18" s="25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</row>
    <row r="19" spans="1:32" ht="16.8" x14ac:dyDescent="0.3">
      <c r="A19" s="134" t="s">
        <v>76</v>
      </c>
      <c r="B19" s="135"/>
      <c r="C19" s="22" t="s">
        <v>25</v>
      </c>
      <c r="D19" s="29"/>
      <c r="E19" s="24">
        <v>2</v>
      </c>
      <c r="F19" s="24">
        <v>2</v>
      </c>
      <c r="G19" s="25">
        <v>0</v>
      </c>
      <c r="H19" s="30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</row>
    <row r="20" spans="1:32" ht="16.8" x14ac:dyDescent="0.3">
      <c r="A20" s="136" t="s">
        <v>28</v>
      </c>
      <c r="B20" s="157"/>
      <c r="C20" s="27" t="s">
        <v>25</v>
      </c>
      <c r="D20" s="29"/>
      <c r="E20" s="24">
        <v>10</v>
      </c>
      <c r="F20" s="24">
        <v>10</v>
      </c>
      <c r="G20" s="24">
        <v>10</v>
      </c>
      <c r="H20" s="32">
        <v>0</v>
      </c>
      <c r="I20" s="54">
        <v>0</v>
      </c>
      <c r="J20" s="26">
        <v>0</v>
      </c>
      <c r="K20" s="30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</row>
    <row r="21" spans="1:32" ht="16.8" x14ac:dyDescent="0.3">
      <c r="A21" s="158" t="s">
        <v>29</v>
      </c>
      <c r="B21" s="73" t="s">
        <v>77</v>
      </c>
      <c r="C21" s="24" t="s">
        <v>41</v>
      </c>
      <c r="D21" s="35"/>
      <c r="E21" s="24">
        <v>1</v>
      </c>
      <c r="F21" s="82">
        <v>1</v>
      </c>
      <c r="G21" s="34">
        <v>1</v>
      </c>
      <c r="H21" s="25">
        <v>0</v>
      </c>
      <c r="I21" s="30">
        <v>0</v>
      </c>
      <c r="J21" s="54">
        <v>0</v>
      </c>
      <c r="K21" s="34">
        <v>0</v>
      </c>
      <c r="L21" s="31">
        <v>0</v>
      </c>
      <c r="M21" s="30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</row>
    <row r="22" spans="1:32" ht="16.8" x14ac:dyDescent="0.3">
      <c r="A22" s="159"/>
      <c r="B22" s="73" t="s">
        <v>78</v>
      </c>
      <c r="C22" s="24" t="s">
        <v>46</v>
      </c>
      <c r="D22" s="36"/>
      <c r="E22" s="24">
        <v>1</v>
      </c>
      <c r="F22" s="82">
        <v>1</v>
      </c>
      <c r="G22" s="34">
        <v>1</v>
      </c>
      <c r="H22" s="25">
        <v>0</v>
      </c>
      <c r="I22" s="26">
        <v>0</v>
      </c>
      <c r="J22" s="34">
        <v>0</v>
      </c>
      <c r="K22" s="34">
        <v>0</v>
      </c>
      <c r="L22" s="31">
        <v>0</v>
      </c>
      <c r="M22" s="30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</row>
    <row r="23" spans="1:32" ht="16.8" x14ac:dyDescent="0.3">
      <c r="A23" s="159"/>
      <c r="B23" s="74" t="s">
        <v>79</v>
      </c>
      <c r="C23" s="24" t="s">
        <v>42</v>
      </c>
      <c r="D23" s="36"/>
      <c r="E23" s="24">
        <v>1</v>
      </c>
      <c r="F23" s="82">
        <v>1</v>
      </c>
      <c r="G23" s="34">
        <v>1</v>
      </c>
      <c r="H23" s="25">
        <v>0</v>
      </c>
      <c r="I23" s="26">
        <v>0</v>
      </c>
      <c r="J23" s="34">
        <v>0</v>
      </c>
      <c r="K23" s="34">
        <v>0</v>
      </c>
      <c r="L23" s="31">
        <v>0</v>
      </c>
      <c r="M23" s="30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</row>
    <row r="24" spans="1:32" ht="16.8" x14ac:dyDescent="0.3">
      <c r="A24" s="159"/>
      <c r="B24" s="75" t="s">
        <v>80</v>
      </c>
      <c r="C24" s="24" t="s">
        <v>92</v>
      </c>
      <c r="D24" s="36"/>
      <c r="E24" s="24">
        <v>1</v>
      </c>
      <c r="F24" s="24">
        <v>1</v>
      </c>
      <c r="G24" s="24">
        <v>1</v>
      </c>
      <c r="H24" s="25">
        <v>0</v>
      </c>
      <c r="J24" s="34">
        <v>0</v>
      </c>
      <c r="K24" s="34">
        <v>0</v>
      </c>
      <c r="L24" s="31">
        <v>0</v>
      </c>
      <c r="M24" s="30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</row>
    <row r="25" spans="1:32" ht="16.8" x14ac:dyDescent="0.3">
      <c r="A25" s="159"/>
      <c r="B25" s="74" t="s">
        <v>81</v>
      </c>
      <c r="C25" s="24" t="s">
        <v>40</v>
      </c>
      <c r="D25" s="36"/>
      <c r="E25" s="24">
        <v>2</v>
      </c>
      <c r="F25" s="24">
        <v>2</v>
      </c>
      <c r="G25" s="24">
        <v>2</v>
      </c>
      <c r="H25" s="24">
        <v>2</v>
      </c>
      <c r="I25" s="25">
        <v>0</v>
      </c>
      <c r="J25" s="34">
        <v>0</v>
      </c>
      <c r="K25" s="34">
        <v>0</v>
      </c>
      <c r="L25" s="31">
        <v>0</v>
      </c>
      <c r="M25" s="30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</row>
    <row r="26" spans="1:32" ht="16.8" x14ac:dyDescent="0.3">
      <c r="A26" s="159"/>
      <c r="B26" s="74" t="s">
        <v>82</v>
      </c>
      <c r="C26" s="24" t="s">
        <v>41</v>
      </c>
      <c r="D26" s="36"/>
      <c r="E26" s="24">
        <v>2</v>
      </c>
      <c r="F26" s="24">
        <v>2</v>
      </c>
      <c r="G26" s="24">
        <v>2</v>
      </c>
      <c r="H26" s="24">
        <v>2</v>
      </c>
      <c r="I26" s="25">
        <v>0</v>
      </c>
      <c r="J26" s="55">
        <v>0</v>
      </c>
      <c r="K26" s="34">
        <v>0</v>
      </c>
      <c r="L26" s="31">
        <v>0</v>
      </c>
      <c r="M26" s="30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</row>
    <row r="27" spans="1:32" ht="16.8" x14ac:dyDescent="0.3">
      <c r="A27" s="159"/>
      <c r="B27" s="76" t="s">
        <v>83</v>
      </c>
      <c r="C27" s="24" t="s">
        <v>44</v>
      </c>
      <c r="D27" s="36"/>
      <c r="E27" s="24">
        <v>1</v>
      </c>
      <c r="F27" s="82">
        <v>1</v>
      </c>
      <c r="G27" s="34">
        <v>1</v>
      </c>
      <c r="H27" s="34">
        <v>1</v>
      </c>
      <c r="I27" s="25">
        <v>0</v>
      </c>
      <c r="J27" s="30">
        <v>0</v>
      </c>
      <c r="K27" s="34">
        <v>0</v>
      </c>
      <c r="L27" s="31">
        <v>0</v>
      </c>
      <c r="M27" s="31">
        <v>0</v>
      </c>
      <c r="N27" s="30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</row>
    <row r="28" spans="1:32" ht="16.8" x14ac:dyDescent="0.3">
      <c r="A28" s="159"/>
      <c r="B28" s="76" t="s">
        <v>84</v>
      </c>
      <c r="C28" s="24" t="s">
        <v>66</v>
      </c>
      <c r="D28" s="36"/>
      <c r="E28" s="24">
        <v>2</v>
      </c>
      <c r="F28" s="82">
        <v>2</v>
      </c>
      <c r="G28" s="34">
        <v>2</v>
      </c>
      <c r="H28" s="34">
        <v>2</v>
      </c>
      <c r="I28" s="25">
        <v>0</v>
      </c>
      <c r="J28" s="34">
        <v>0</v>
      </c>
      <c r="K28" s="34">
        <v>0</v>
      </c>
      <c r="L28" s="31">
        <v>0</v>
      </c>
      <c r="M28" s="31">
        <v>0</v>
      </c>
      <c r="N28" s="30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</row>
    <row r="29" spans="1:32" ht="33.6" x14ac:dyDescent="0.3">
      <c r="A29" s="159"/>
      <c r="B29" s="76" t="s">
        <v>85</v>
      </c>
      <c r="C29" s="24" t="s">
        <v>93</v>
      </c>
      <c r="D29" s="36"/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5">
        <v>0</v>
      </c>
      <c r="K29" s="34">
        <v>0</v>
      </c>
      <c r="L29" s="31">
        <v>0</v>
      </c>
      <c r="M29" s="31">
        <v>0</v>
      </c>
      <c r="N29" s="30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</row>
    <row r="30" spans="1:32" ht="16.8" x14ac:dyDescent="0.3">
      <c r="A30" s="159"/>
      <c r="B30" s="76" t="s">
        <v>86</v>
      </c>
      <c r="C30" s="24" t="s">
        <v>42</v>
      </c>
      <c r="D30" s="36"/>
      <c r="E30" s="24">
        <v>2</v>
      </c>
      <c r="F30" s="82">
        <v>2</v>
      </c>
      <c r="G30" s="34">
        <v>2</v>
      </c>
      <c r="H30" s="34">
        <v>2</v>
      </c>
      <c r="I30" s="34">
        <v>2</v>
      </c>
      <c r="J30" s="25">
        <v>0</v>
      </c>
      <c r="K30" s="34">
        <v>0</v>
      </c>
      <c r="L30" s="31">
        <v>0</v>
      </c>
      <c r="M30" s="31">
        <v>0</v>
      </c>
      <c r="N30" s="30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</row>
    <row r="31" spans="1:32" ht="16.8" x14ac:dyDescent="0.3">
      <c r="A31" s="159"/>
      <c r="B31" s="76" t="s">
        <v>87</v>
      </c>
      <c r="C31" s="24" t="s">
        <v>46</v>
      </c>
      <c r="D31" s="36"/>
      <c r="E31" s="24">
        <v>2</v>
      </c>
      <c r="F31" s="82">
        <v>2</v>
      </c>
      <c r="G31" s="34">
        <v>2</v>
      </c>
      <c r="H31" s="34">
        <v>2</v>
      </c>
      <c r="I31" s="34">
        <v>2</v>
      </c>
      <c r="J31" s="25">
        <v>0</v>
      </c>
      <c r="K31" s="55">
        <v>0</v>
      </c>
      <c r="L31" s="31">
        <v>0</v>
      </c>
      <c r="M31" s="31">
        <v>0</v>
      </c>
      <c r="N31" s="30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</row>
    <row r="32" spans="1:32" ht="16.8" x14ac:dyDescent="0.3">
      <c r="A32" s="159"/>
      <c r="B32" s="104" t="s">
        <v>88</v>
      </c>
      <c r="C32" s="77" t="s">
        <v>41</v>
      </c>
      <c r="D32" s="36"/>
      <c r="E32" s="77">
        <v>1</v>
      </c>
      <c r="F32" s="77">
        <v>1</v>
      </c>
      <c r="G32" s="77">
        <v>1</v>
      </c>
      <c r="H32" s="77">
        <v>1</v>
      </c>
      <c r="I32" s="77">
        <v>1</v>
      </c>
      <c r="J32" s="105">
        <v>0</v>
      </c>
      <c r="K32" s="57">
        <v>0</v>
      </c>
      <c r="L32" s="106">
        <v>0</v>
      </c>
      <c r="M32" s="106">
        <v>0</v>
      </c>
      <c r="N32" s="107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</row>
    <row r="33" spans="1:40" s="114" customFormat="1" ht="16.8" x14ac:dyDescent="0.3">
      <c r="A33" s="159"/>
      <c r="B33" s="76" t="s">
        <v>107</v>
      </c>
      <c r="C33" s="24" t="s">
        <v>41</v>
      </c>
      <c r="D33" s="116"/>
      <c r="E33" s="24">
        <v>2</v>
      </c>
      <c r="F33" s="24">
        <v>2</v>
      </c>
      <c r="G33" s="24">
        <v>2</v>
      </c>
      <c r="H33" s="24">
        <v>2</v>
      </c>
      <c r="I33" s="24">
        <v>2</v>
      </c>
      <c r="J33" s="105">
        <v>0</v>
      </c>
      <c r="K33" s="57">
        <v>0</v>
      </c>
      <c r="L33" s="106">
        <v>0</v>
      </c>
      <c r="M33" s="106">
        <v>0</v>
      </c>
      <c r="N33" s="107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  <c r="AF33" s="38">
        <v>0</v>
      </c>
      <c r="AG33"/>
      <c r="AH33"/>
      <c r="AI33"/>
      <c r="AJ33"/>
      <c r="AK33"/>
      <c r="AL33"/>
      <c r="AM33"/>
      <c r="AN33" s="115"/>
    </row>
    <row r="34" spans="1:40" s="114" customFormat="1" ht="16.8" x14ac:dyDescent="0.3">
      <c r="A34" s="159"/>
      <c r="B34" s="76" t="s">
        <v>108</v>
      </c>
      <c r="C34" s="24" t="s">
        <v>46</v>
      </c>
      <c r="D34" s="116"/>
      <c r="E34" s="24">
        <v>2</v>
      </c>
      <c r="F34" s="24">
        <v>2</v>
      </c>
      <c r="G34" s="24">
        <v>2</v>
      </c>
      <c r="H34" s="24">
        <v>2</v>
      </c>
      <c r="I34" s="24">
        <v>2</v>
      </c>
      <c r="J34" s="105">
        <v>0</v>
      </c>
      <c r="K34" s="57">
        <v>0</v>
      </c>
      <c r="L34" s="106">
        <v>0</v>
      </c>
      <c r="M34" s="106">
        <v>0</v>
      </c>
      <c r="N34" s="107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/>
      <c r="AH34"/>
      <c r="AI34"/>
      <c r="AJ34"/>
      <c r="AK34"/>
      <c r="AL34"/>
      <c r="AM34"/>
      <c r="AN34" s="115"/>
    </row>
    <row r="35" spans="1:40" ht="16.8" x14ac:dyDescent="0.3">
      <c r="A35" s="160"/>
      <c r="B35" s="108" t="s">
        <v>32</v>
      </c>
      <c r="C35" s="79" t="s">
        <v>25</v>
      </c>
      <c r="D35" s="89"/>
      <c r="E35" s="78">
        <v>10</v>
      </c>
      <c r="F35" s="90">
        <v>10</v>
      </c>
      <c r="G35" s="58">
        <v>10</v>
      </c>
      <c r="H35" s="58">
        <v>10</v>
      </c>
      <c r="I35" s="58">
        <v>10</v>
      </c>
      <c r="J35" s="58">
        <v>10</v>
      </c>
      <c r="K35" s="109">
        <v>0</v>
      </c>
      <c r="L35" s="58">
        <v>0</v>
      </c>
      <c r="M35" s="110">
        <v>0</v>
      </c>
      <c r="N35" s="110">
        <v>0</v>
      </c>
      <c r="O35" s="111">
        <v>0</v>
      </c>
      <c r="P35" s="112">
        <v>0</v>
      </c>
      <c r="Q35" s="112">
        <v>0</v>
      </c>
      <c r="R35" s="112">
        <v>0</v>
      </c>
      <c r="S35" s="112">
        <v>0</v>
      </c>
      <c r="T35" s="112">
        <v>0</v>
      </c>
      <c r="U35" s="112">
        <v>0</v>
      </c>
      <c r="V35" s="112">
        <v>0</v>
      </c>
      <c r="W35" s="112">
        <v>0</v>
      </c>
      <c r="X35" s="112">
        <v>0</v>
      </c>
      <c r="Y35" s="112">
        <v>0</v>
      </c>
      <c r="Z35" s="112">
        <v>0</v>
      </c>
      <c r="AA35" s="112">
        <v>0</v>
      </c>
      <c r="AB35" s="112">
        <v>0</v>
      </c>
      <c r="AC35" s="112">
        <v>0</v>
      </c>
      <c r="AD35" s="112">
        <v>0</v>
      </c>
      <c r="AE35" s="112">
        <v>0</v>
      </c>
      <c r="AF35" s="112">
        <v>0</v>
      </c>
    </row>
    <row r="36" spans="1:40" ht="16.8" x14ac:dyDescent="0.3">
      <c r="A36" s="141" t="s">
        <v>33</v>
      </c>
      <c r="B36" s="73" t="s">
        <v>77</v>
      </c>
      <c r="C36" s="24" t="s">
        <v>61</v>
      </c>
      <c r="D36" s="35"/>
      <c r="E36" s="24">
        <v>1</v>
      </c>
      <c r="F36" s="82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25">
        <v>0</v>
      </c>
      <c r="M36" s="56">
        <v>0</v>
      </c>
      <c r="N36" s="34">
        <v>0</v>
      </c>
      <c r="O36" s="31">
        <v>0</v>
      </c>
      <c r="P36" s="31">
        <v>0</v>
      </c>
      <c r="Q36" s="30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</row>
    <row r="37" spans="1:40" ht="16.8" x14ac:dyDescent="0.3">
      <c r="A37" s="142"/>
      <c r="B37" s="73" t="s">
        <v>78</v>
      </c>
      <c r="C37" s="24" t="s">
        <v>46</v>
      </c>
      <c r="D37" s="40"/>
      <c r="E37" s="24">
        <v>1</v>
      </c>
      <c r="F37" s="82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25">
        <v>0</v>
      </c>
      <c r="M37" s="34">
        <v>0</v>
      </c>
      <c r="N37" s="34">
        <v>0</v>
      </c>
      <c r="O37" s="34">
        <v>0</v>
      </c>
      <c r="P37" s="31">
        <v>0</v>
      </c>
      <c r="Q37" s="30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</row>
    <row r="38" spans="1:40" ht="16.8" x14ac:dyDescent="0.3">
      <c r="A38" s="142"/>
      <c r="B38" s="74" t="s">
        <v>79</v>
      </c>
      <c r="C38" s="24" t="s">
        <v>42</v>
      </c>
      <c r="D38" s="40"/>
      <c r="E38" s="24">
        <v>1</v>
      </c>
      <c r="F38" s="82">
        <v>1</v>
      </c>
      <c r="G38" s="34">
        <v>1</v>
      </c>
      <c r="H38" s="34">
        <v>1</v>
      </c>
      <c r="I38" s="34">
        <v>1</v>
      </c>
      <c r="J38" s="34">
        <v>1</v>
      </c>
      <c r="K38" s="34">
        <v>1</v>
      </c>
      <c r="L38" s="25">
        <v>0</v>
      </c>
      <c r="M38" s="34">
        <v>0</v>
      </c>
      <c r="N38" s="34">
        <v>0</v>
      </c>
      <c r="O38" s="34">
        <v>0</v>
      </c>
      <c r="P38" s="31">
        <v>0</v>
      </c>
      <c r="Q38" s="30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</row>
    <row r="39" spans="1:40" ht="16.8" x14ac:dyDescent="0.3">
      <c r="A39" s="142"/>
      <c r="B39" s="75" t="s">
        <v>80</v>
      </c>
      <c r="C39" s="24" t="s">
        <v>40</v>
      </c>
      <c r="D39" s="40"/>
      <c r="E39" s="24">
        <v>1</v>
      </c>
      <c r="F39" s="82">
        <v>1</v>
      </c>
      <c r="G39" s="34">
        <v>1</v>
      </c>
      <c r="H39" s="34">
        <v>1</v>
      </c>
      <c r="I39" s="34">
        <v>1</v>
      </c>
      <c r="J39" s="34">
        <v>1</v>
      </c>
      <c r="K39" s="34">
        <v>1</v>
      </c>
      <c r="L39" s="25">
        <v>0</v>
      </c>
      <c r="M39" s="56">
        <v>0</v>
      </c>
      <c r="N39" s="34">
        <v>0</v>
      </c>
      <c r="O39" s="34">
        <v>0</v>
      </c>
      <c r="P39" s="31">
        <v>0</v>
      </c>
      <c r="Q39" s="30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</row>
    <row r="40" spans="1:40" ht="16.8" x14ac:dyDescent="0.3">
      <c r="A40" s="142"/>
      <c r="B40" s="74" t="s">
        <v>81</v>
      </c>
      <c r="C40" s="24" t="s">
        <v>46</v>
      </c>
      <c r="D40" s="40"/>
      <c r="E40" s="24">
        <v>1</v>
      </c>
      <c r="F40" s="82">
        <v>1</v>
      </c>
      <c r="G40" s="34">
        <v>1</v>
      </c>
      <c r="H40" s="34">
        <v>1</v>
      </c>
      <c r="I40" s="34">
        <v>1</v>
      </c>
      <c r="J40" s="34">
        <v>1</v>
      </c>
      <c r="K40" s="34">
        <v>1</v>
      </c>
      <c r="L40" s="25">
        <v>0</v>
      </c>
      <c r="M40" s="34">
        <v>0</v>
      </c>
      <c r="N40" s="34">
        <v>0</v>
      </c>
      <c r="O40" s="34">
        <v>0</v>
      </c>
      <c r="P40" s="31">
        <v>0</v>
      </c>
      <c r="Q40" s="30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</row>
    <row r="41" spans="1:40" ht="16.8" x14ac:dyDescent="0.3">
      <c r="A41" s="142"/>
      <c r="B41" s="74" t="s">
        <v>82</v>
      </c>
      <c r="C41" s="24" t="s">
        <v>44</v>
      </c>
      <c r="D41" s="40"/>
      <c r="E41" s="24">
        <v>1</v>
      </c>
      <c r="F41" s="24">
        <v>1</v>
      </c>
      <c r="G41" s="24">
        <v>1</v>
      </c>
      <c r="H41" s="24">
        <v>1</v>
      </c>
      <c r="I41" s="24">
        <v>1</v>
      </c>
      <c r="J41" s="24">
        <v>1</v>
      </c>
      <c r="K41" s="24">
        <v>1</v>
      </c>
      <c r="L41" s="25">
        <v>0</v>
      </c>
      <c r="M41" s="34">
        <v>0</v>
      </c>
      <c r="N41" s="34">
        <v>0</v>
      </c>
      <c r="O41" s="34">
        <v>0</v>
      </c>
      <c r="P41" s="31">
        <v>0</v>
      </c>
      <c r="Q41" s="31">
        <v>0</v>
      </c>
      <c r="R41" s="30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</row>
    <row r="42" spans="1:40" ht="16.8" x14ac:dyDescent="0.3">
      <c r="A42" s="142"/>
      <c r="B42" s="76" t="s">
        <v>83</v>
      </c>
      <c r="C42" s="24" t="s">
        <v>41</v>
      </c>
      <c r="D42" s="40"/>
      <c r="E42" s="24">
        <v>1</v>
      </c>
      <c r="F42" s="24">
        <v>1</v>
      </c>
      <c r="G42" s="24">
        <v>1</v>
      </c>
      <c r="H42" s="24">
        <v>1</v>
      </c>
      <c r="I42" s="24">
        <v>1</v>
      </c>
      <c r="J42" s="24">
        <v>1</v>
      </c>
      <c r="K42" s="24">
        <v>1</v>
      </c>
      <c r="L42" s="25">
        <v>0</v>
      </c>
      <c r="M42" s="55">
        <v>0</v>
      </c>
      <c r="N42" s="34">
        <v>0</v>
      </c>
      <c r="O42" s="34">
        <v>0</v>
      </c>
      <c r="P42" s="31">
        <v>0</v>
      </c>
      <c r="Q42" s="31">
        <v>0</v>
      </c>
      <c r="R42" s="30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</row>
    <row r="43" spans="1:40" ht="16.8" x14ac:dyDescent="0.3">
      <c r="A43" s="142"/>
      <c r="B43" s="76" t="s">
        <v>84</v>
      </c>
      <c r="C43" s="24" t="s">
        <v>42</v>
      </c>
      <c r="D43" s="40"/>
      <c r="E43" s="24">
        <v>1</v>
      </c>
      <c r="F43" s="24">
        <v>1</v>
      </c>
      <c r="G43" s="24">
        <v>1</v>
      </c>
      <c r="H43" s="24">
        <v>1</v>
      </c>
      <c r="I43" s="24">
        <v>1</v>
      </c>
      <c r="J43" s="24">
        <v>1</v>
      </c>
      <c r="K43" s="24">
        <v>1</v>
      </c>
      <c r="L43" s="25">
        <v>0</v>
      </c>
      <c r="M43" s="34">
        <v>0</v>
      </c>
      <c r="N43" s="34">
        <v>0</v>
      </c>
      <c r="O43" s="34">
        <v>0</v>
      </c>
      <c r="P43" s="31">
        <v>0</v>
      </c>
      <c r="Q43" s="31">
        <v>0</v>
      </c>
      <c r="R43" s="30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</row>
    <row r="44" spans="1:40" ht="33.6" x14ac:dyDescent="0.3">
      <c r="A44" s="142"/>
      <c r="B44" s="76" t="s">
        <v>85</v>
      </c>
      <c r="C44" s="24" t="s">
        <v>40</v>
      </c>
      <c r="D44" s="40"/>
      <c r="E44" s="24">
        <v>1</v>
      </c>
      <c r="F44" s="24">
        <v>1</v>
      </c>
      <c r="G44" s="24">
        <v>1</v>
      </c>
      <c r="H44" s="24">
        <v>1</v>
      </c>
      <c r="I44" s="24">
        <v>1</v>
      </c>
      <c r="J44" s="24">
        <v>1</v>
      </c>
      <c r="K44" s="24">
        <v>1</v>
      </c>
      <c r="L44" s="25">
        <v>0</v>
      </c>
      <c r="M44" s="34">
        <v>0</v>
      </c>
      <c r="N44" s="34">
        <v>0</v>
      </c>
      <c r="O44" s="34">
        <v>0</v>
      </c>
      <c r="P44" s="31">
        <v>0</v>
      </c>
      <c r="Q44" s="31">
        <v>0</v>
      </c>
      <c r="R44" s="30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</row>
    <row r="45" spans="1:40" ht="16.8" x14ac:dyDescent="0.3">
      <c r="A45" s="142"/>
      <c r="B45" s="76" t="s">
        <v>86</v>
      </c>
      <c r="C45" s="24" t="s">
        <v>42</v>
      </c>
      <c r="D45" s="40"/>
      <c r="E45" s="24">
        <v>1</v>
      </c>
      <c r="F45" s="24">
        <v>1</v>
      </c>
      <c r="G45" s="24">
        <v>1</v>
      </c>
      <c r="H45" s="24">
        <v>1</v>
      </c>
      <c r="I45" s="24">
        <v>1</v>
      </c>
      <c r="J45" s="24">
        <v>1</v>
      </c>
      <c r="K45" s="24">
        <v>1</v>
      </c>
      <c r="L45" s="25">
        <v>0</v>
      </c>
      <c r="M45" s="30">
        <v>0</v>
      </c>
      <c r="N45" s="34">
        <v>0</v>
      </c>
      <c r="O45" s="34">
        <v>0</v>
      </c>
      <c r="P45" s="31">
        <v>0</v>
      </c>
      <c r="Q45" s="31">
        <v>0</v>
      </c>
      <c r="R45" s="30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</row>
    <row r="46" spans="1:40" ht="16.8" x14ac:dyDescent="0.3">
      <c r="A46" s="142"/>
      <c r="B46" s="76" t="s">
        <v>87</v>
      </c>
      <c r="C46" s="24" t="s">
        <v>44</v>
      </c>
      <c r="D46" s="40"/>
      <c r="E46" s="24">
        <v>1</v>
      </c>
      <c r="F46" s="24">
        <v>1</v>
      </c>
      <c r="G46" s="24">
        <v>1</v>
      </c>
      <c r="H46" s="24">
        <v>1</v>
      </c>
      <c r="I46" s="24">
        <v>1</v>
      </c>
      <c r="J46" s="24">
        <v>1</v>
      </c>
      <c r="K46" s="24">
        <v>1</v>
      </c>
      <c r="L46" s="25">
        <v>0</v>
      </c>
      <c r="M46" s="30">
        <v>0</v>
      </c>
      <c r="N46" s="34">
        <v>0</v>
      </c>
      <c r="O46" s="34">
        <v>0</v>
      </c>
      <c r="P46" s="31">
        <v>0</v>
      </c>
      <c r="Q46" s="31">
        <v>0</v>
      </c>
      <c r="R46" s="30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</row>
    <row r="47" spans="1:40" ht="16.8" x14ac:dyDescent="0.3">
      <c r="A47" s="142"/>
      <c r="B47" s="76" t="s">
        <v>88</v>
      </c>
      <c r="C47" s="77" t="s">
        <v>46</v>
      </c>
      <c r="D47" s="36"/>
      <c r="E47" s="24">
        <v>1</v>
      </c>
      <c r="F47" s="24">
        <v>1</v>
      </c>
      <c r="G47" s="24">
        <v>1</v>
      </c>
      <c r="H47" s="24">
        <v>1</v>
      </c>
      <c r="I47" s="24">
        <v>1</v>
      </c>
      <c r="J47" s="24">
        <v>1</v>
      </c>
      <c r="K47" s="24">
        <v>1</v>
      </c>
      <c r="L47" s="25">
        <v>0</v>
      </c>
      <c r="M47" s="30">
        <v>0</v>
      </c>
      <c r="N47" s="34">
        <v>0</v>
      </c>
      <c r="O47" s="34">
        <v>0</v>
      </c>
      <c r="P47" s="31">
        <v>0</v>
      </c>
      <c r="Q47" s="31">
        <v>0</v>
      </c>
      <c r="R47" s="30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</row>
    <row r="48" spans="1:40" ht="16.8" x14ac:dyDescent="0.3">
      <c r="A48" s="142"/>
      <c r="B48" s="76" t="s">
        <v>107</v>
      </c>
      <c r="C48" s="24" t="s">
        <v>44</v>
      </c>
      <c r="D48" s="36"/>
      <c r="E48" s="24">
        <v>1</v>
      </c>
      <c r="F48" s="24">
        <v>1</v>
      </c>
      <c r="G48" s="24">
        <v>1</v>
      </c>
      <c r="H48" s="24">
        <v>1</v>
      </c>
      <c r="I48" s="24">
        <v>1</v>
      </c>
      <c r="J48" s="24">
        <v>1</v>
      </c>
      <c r="K48" s="24">
        <v>1</v>
      </c>
      <c r="L48" s="25">
        <v>0</v>
      </c>
      <c r="M48" s="30">
        <v>0</v>
      </c>
      <c r="N48" s="34">
        <v>0</v>
      </c>
      <c r="O48" s="34">
        <v>0</v>
      </c>
      <c r="P48" s="31">
        <v>0</v>
      </c>
      <c r="Q48" s="31">
        <v>0</v>
      </c>
      <c r="R48" s="30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</row>
    <row r="49" spans="1:32" ht="16.8" x14ac:dyDescent="0.3">
      <c r="A49" s="142"/>
      <c r="B49" s="76" t="s">
        <v>108</v>
      </c>
      <c r="C49" s="24" t="s">
        <v>41</v>
      </c>
      <c r="D49" s="36"/>
      <c r="E49" s="24">
        <v>1</v>
      </c>
      <c r="F49" s="24">
        <v>1</v>
      </c>
      <c r="G49" s="24">
        <v>1</v>
      </c>
      <c r="H49" s="24">
        <v>1</v>
      </c>
      <c r="I49" s="24">
        <v>1</v>
      </c>
      <c r="J49" s="24">
        <v>1</v>
      </c>
      <c r="K49" s="24">
        <v>1</v>
      </c>
      <c r="L49" s="25">
        <v>0</v>
      </c>
      <c r="M49" s="30">
        <v>0</v>
      </c>
      <c r="N49" s="34">
        <v>0</v>
      </c>
      <c r="O49" s="34">
        <v>0</v>
      </c>
      <c r="P49" s="31">
        <v>0</v>
      </c>
      <c r="Q49" s="31">
        <v>0</v>
      </c>
      <c r="R49" s="30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</row>
    <row r="50" spans="1:32" ht="16.8" x14ac:dyDescent="0.3">
      <c r="A50" s="142"/>
      <c r="B50" s="73" t="s">
        <v>32</v>
      </c>
      <c r="C50" s="112" t="s">
        <v>25</v>
      </c>
      <c r="D50" s="36"/>
      <c r="E50" s="24">
        <v>10</v>
      </c>
      <c r="F50" s="24">
        <v>10</v>
      </c>
      <c r="G50" s="24">
        <v>10</v>
      </c>
      <c r="H50" s="24">
        <v>10</v>
      </c>
      <c r="I50" s="24">
        <v>10</v>
      </c>
      <c r="J50" s="24">
        <v>10</v>
      </c>
      <c r="K50" s="24">
        <v>10</v>
      </c>
      <c r="L50" s="25">
        <v>0</v>
      </c>
      <c r="M50" s="30">
        <v>0</v>
      </c>
      <c r="N50" s="34">
        <v>0</v>
      </c>
      <c r="O50" s="34">
        <v>0</v>
      </c>
      <c r="P50" s="31">
        <v>0</v>
      </c>
      <c r="Q50" s="31">
        <v>0</v>
      </c>
      <c r="R50" s="30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</row>
    <row r="51" spans="1:32" ht="16.8" x14ac:dyDescent="0.3">
      <c r="A51" s="130" t="s">
        <v>34</v>
      </c>
      <c r="B51" s="73" t="s">
        <v>77</v>
      </c>
      <c r="C51" s="24" t="s">
        <v>69</v>
      </c>
      <c r="D51" s="41"/>
      <c r="E51" s="24">
        <v>12</v>
      </c>
      <c r="F51" s="24">
        <v>12</v>
      </c>
      <c r="G51" s="24">
        <v>12</v>
      </c>
      <c r="H51" s="24">
        <v>12</v>
      </c>
      <c r="I51" s="24">
        <v>12</v>
      </c>
      <c r="J51" s="24">
        <v>12</v>
      </c>
      <c r="K51" s="24">
        <v>12</v>
      </c>
      <c r="L51" s="24">
        <v>6</v>
      </c>
      <c r="M51" s="24">
        <v>6</v>
      </c>
      <c r="N51" s="25">
        <v>0</v>
      </c>
      <c r="O51" s="34">
        <v>0</v>
      </c>
      <c r="P51" s="30">
        <v>0</v>
      </c>
      <c r="Q51" s="30">
        <v>0</v>
      </c>
      <c r="R51" s="34">
        <v>0</v>
      </c>
      <c r="S51" s="31">
        <v>0</v>
      </c>
      <c r="T51" s="31">
        <v>0</v>
      </c>
      <c r="U51" s="30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</row>
    <row r="52" spans="1:32" ht="16.8" x14ac:dyDescent="0.3">
      <c r="A52" s="130"/>
      <c r="B52" s="73" t="s">
        <v>78</v>
      </c>
      <c r="C52" s="24" t="s">
        <v>68</v>
      </c>
      <c r="D52" s="41"/>
      <c r="E52" s="24">
        <v>12</v>
      </c>
      <c r="F52" s="24">
        <v>12</v>
      </c>
      <c r="G52" s="24">
        <v>12</v>
      </c>
      <c r="H52" s="24">
        <v>12</v>
      </c>
      <c r="I52" s="24">
        <v>12</v>
      </c>
      <c r="J52" s="24">
        <v>12</v>
      </c>
      <c r="K52" s="24">
        <v>12</v>
      </c>
      <c r="L52" s="24">
        <v>6</v>
      </c>
      <c r="M52" s="24">
        <v>6</v>
      </c>
      <c r="N52" s="25">
        <v>0</v>
      </c>
      <c r="O52" s="34">
        <v>0</v>
      </c>
      <c r="P52" s="31">
        <v>0</v>
      </c>
      <c r="Q52" s="34">
        <v>0</v>
      </c>
      <c r="R52" s="30">
        <v>0</v>
      </c>
      <c r="S52" s="31">
        <v>0</v>
      </c>
      <c r="T52" s="31">
        <v>0</v>
      </c>
      <c r="U52" s="30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</row>
    <row r="53" spans="1:32" ht="16.8" x14ac:dyDescent="0.3">
      <c r="A53" s="130"/>
      <c r="B53" s="74" t="s">
        <v>79</v>
      </c>
      <c r="C53" s="24" t="s">
        <v>94</v>
      </c>
      <c r="D53" s="41"/>
      <c r="E53" s="24">
        <v>22</v>
      </c>
      <c r="F53" s="24">
        <v>22</v>
      </c>
      <c r="G53" s="24">
        <v>22</v>
      </c>
      <c r="H53" s="24">
        <v>22</v>
      </c>
      <c r="I53" s="24">
        <v>22</v>
      </c>
      <c r="J53" s="24">
        <v>22</v>
      </c>
      <c r="K53" s="24">
        <v>22</v>
      </c>
      <c r="L53" s="24">
        <v>22</v>
      </c>
      <c r="M53" s="24">
        <v>22</v>
      </c>
      <c r="N53" s="24">
        <v>8</v>
      </c>
      <c r="O53" s="24">
        <v>7</v>
      </c>
      <c r="P53" s="24">
        <v>7</v>
      </c>
      <c r="Q53" s="25">
        <v>0</v>
      </c>
      <c r="R53" s="34">
        <v>0</v>
      </c>
      <c r="S53" s="30">
        <v>0</v>
      </c>
      <c r="T53" s="31">
        <v>0</v>
      </c>
      <c r="U53" s="30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</row>
    <row r="54" spans="1:32" ht="16.8" x14ac:dyDescent="0.3">
      <c r="A54" s="130"/>
      <c r="B54" s="75" t="s">
        <v>80</v>
      </c>
      <c r="C54" s="24" t="s">
        <v>95</v>
      </c>
      <c r="D54" s="41"/>
      <c r="E54" s="24">
        <v>20</v>
      </c>
      <c r="F54" s="24">
        <v>20</v>
      </c>
      <c r="G54" s="24">
        <v>20</v>
      </c>
      <c r="H54" s="24">
        <v>20</v>
      </c>
      <c r="I54" s="24">
        <v>20</v>
      </c>
      <c r="J54" s="24">
        <v>20</v>
      </c>
      <c r="K54" s="24">
        <v>20</v>
      </c>
      <c r="L54" s="24">
        <v>20</v>
      </c>
      <c r="M54" s="24">
        <v>20</v>
      </c>
      <c r="N54" s="24">
        <v>7</v>
      </c>
      <c r="O54" s="24">
        <v>7</v>
      </c>
      <c r="P54" s="24">
        <v>6</v>
      </c>
      <c r="Q54" s="25">
        <v>0</v>
      </c>
      <c r="R54" s="34">
        <v>0</v>
      </c>
      <c r="S54" s="31">
        <v>0</v>
      </c>
      <c r="T54" s="31">
        <v>0</v>
      </c>
      <c r="U54" s="30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  <c r="AF54" s="26">
        <v>0</v>
      </c>
    </row>
    <row r="55" spans="1:32" ht="16.8" x14ac:dyDescent="0.3">
      <c r="A55" s="130"/>
      <c r="B55" s="74" t="s">
        <v>81</v>
      </c>
      <c r="C55" s="24" t="s">
        <v>96</v>
      </c>
      <c r="D55" s="41"/>
      <c r="E55" s="24">
        <v>14</v>
      </c>
      <c r="F55" s="24">
        <v>14</v>
      </c>
      <c r="G55" s="24">
        <v>14</v>
      </c>
      <c r="H55" s="24">
        <v>14</v>
      </c>
      <c r="I55" s="24">
        <v>14</v>
      </c>
      <c r="J55" s="24">
        <v>14</v>
      </c>
      <c r="K55" s="24">
        <v>14</v>
      </c>
      <c r="L55" s="24">
        <v>14</v>
      </c>
      <c r="M55" s="24">
        <v>14</v>
      </c>
      <c r="N55" s="24">
        <v>14</v>
      </c>
      <c r="O55" s="24">
        <v>14</v>
      </c>
      <c r="P55" s="24">
        <v>7</v>
      </c>
      <c r="Q55" s="24">
        <v>7</v>
      </c>
      <c r="R55" s="25">
        <v>0</v>
      </c>
      <c r="S55" s="31">
        <v>0</v>
      </c>
      <c r="T55" s="34">
        <v>0</v>
      </c>
      <c r="U55" s="34">
        <v>0</v>
      </c>
      <c r="V55" s="31">
        <v>0</v>
      </c>
      <c r="W55" s="30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</row>
    <row r="56" spans="1:32" ht="16.8" x14ac:dyDescent="0.3">
      <c r="A56" s="130"/>
      <c r="B56" s="74" t="s">
        <v>82</v>
      </c>
      <c r="C56" s="24" t="s">
        <v>64</v>
      </c>
      <c r="D56" s="41"/>
      <c r="E56" s="24">
        <v>14</v>
      </c>
      <c r="F56" s="24">
        <v>14</v>
      </c>
      <c r="G56" s="24">
        <v>14</v>
      </c>
      <c r="H56" s="24">
        <v>14</v>
      </c>
      <c r="I56" s="24">
        <v>14</v>
      </c>
      <c r="J56" s="24">
        <v>14</v>
      </c>
      <c r="K56" s="24">
        <v>14</v>
      </c>
      <c r="L56" s="24">
        <v>14</v>
      </c>
      <c r="M56" s="24">
        <v>14</v>
      </c>
      <c r="N56" s="24">
        <v>14</v>
      </c>
      <c r="O56" s="24">
        <v>14</v>
      </c>
      <c r="P56" s="24">
        <v>14</v>
      </c>
      <c r="Q56" s="24">
        <v>7</v>
      </c>
      <c r="R56" s="24">
        <v>7</v>
      </c>
      <c r="S56" s="25">
        <v>0</v>
      </c>
      <c r="T56" s="34">
        <v>0</v>
      </c>
      <c r="U56" s="34">
        <v>0</v>
      </c>
      <c r="V56" s="31">
        <v>0</v>
      </c>
      <c r="W56" s="30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</row>
    <row r="57" spans="1:32" ht="16.8" x14ac:dyDescent="0.3">
      <c r="A57" s="130"/>
      <c r="B57" s="76" t="s">
        <v>83</v>
      </c>
      <c r="C57" s="24" t="s">
        <v>97</v>
      </c>
      <c r="D57" s="41"/>
      <c r="E57" s="24">
        <v>12</v>
      </c>
      <c r="F57" s="24">
        <v>12</v>
      </c>
      <c r="G57" s="24">
        <v>12</v>
      </c>
      <c r="H57" s="24">
        <v>12</v>
      </c>
      <c r="I57" s="24">
        <v>12</v>
      </c>
      <c r="J57" s="24">
        <v>12</v>
      </c>
      <c r="K57" s="24">
        <v>12</v>
      </c>
      <c r="L57" s="24">
        <v>12</v>
      </c>
      <c r="M57" s="24">
        <v>12</v>
      </c>
      <c r="N57" s="24">
        <v>12</v>
      </c>
      <c r="O57" s="24">
        <v>12</v>
      </c>
      <c r="P57" s="24">
        <v>12</v>
      </c>
      <c r="Q57" s="24">
        <v>12</v>
      </c>
      <c r="R57" s="24">
        <v>4</v>
      </c>
      <c r="S57" s="24">
        <v>4</v>
      </c>
      <c r="T57" s="24">
        <v>4</v>
      </c>
      <c r="U57" s="25">
        <v>0</v>
      </c>
      <c r="V57" s="31">
        <v>0</v>
      </c>
      <c r="W57" s="30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</row>
    <row r="58" spans="1:32" ht="16.8" x14ac:dyDescent="0.3">
      <c r="A58" s="130"/>
      <c r="B58" s="76" t="s">
        <v>84</v>
      </c>
      <c r="C58" s="24" t="s">
        <v>98</v>
      </c>
      <c r="D58" s="41"/>
      <c r="E58" s="24">
        <v>20</v>
      </c>
      <c r="F58" s="24">
        <v>20</v>
      </c>
      <c r="G58" s="24">
        <v>20</v>
      </c>
      <c r="H58" s="24">
        <v>20</v>
      </c>
      <c r="I58" s="24">
        <v>20</v>
      </c>
      <c r="J58" s="24">
        <v>20</v>
      </c>
      <c r="K58" s="24">
        <v>20</v>
      </c>
      <c r="L58" s="24">
        <v>20</v>
      </c>
      <c r="M58" s="24">
        <v>20</v>
      </c>
      <c r="N58" s="24">
        <v>20</v>
      </c>
      <c r="O58" s="24">
        <v>20</v>
      </c>
      <c r="P58" s="24">
        <v>20</v>
      </c>
      <c r="Q58" s="24">
        <v>20</v>
      </c>
      <c r="R58" s="24">
        <v>20</v>
      </c>
      <c r="S58" s="24">
        <v>7</v>
      </c>
      <c r="T58" s="24">
        <v>7</v>
      </c>
      <c r="U58" s="24">
        <v>6</v>
      </c>
      <c r="V58" s="25">
        <v>0</v>
      </c>
      <c r="W58" s="30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</row>
    <row r="59" spans="1:32" ht="33.6" x14ac:dyDescent="0.3">
      <c r="A59" s="130"/>
      <c r="B59" s="76" t="s">
        <v>85</v>
      </c>
      <c r="C59" s="24" t="s">
        <v>99</v>
      </c>
      <c r="D59" s="41"/>
      <c r="E59" s="24">
        <v>15</v>
      </c>
      <c r="F59" s="24">
        <v>15</v>
      </c>
      <c r="G59" s="24">
        <v>15</v>
      </c>
      <c r="H59" s="24">
        <v>15</v>
      </c>
      <c r="I59" s="24">
        <v>15</v>
      </c>
      <c r="J59" s="24">
        <v>15</v>
      </c>
      <c r="K59" s="24">
        <v>15</v>
      </c>
      <c r="L59" s="24">
        <v>15</v>
      </c>
      <c r="M59" s="24">
        <v>15</v>
      </c>
      <c r="N59" s="24">
        <v>15</v>
      </c>
      <c r="O59" s="24">
        <v>15</v>
      </c>
      <c r="P59" s="24">
        <v>15</v>
      </c>
      <c r="Q59" s="24">
        <v>15</v>
      </c>
      <c r="R59" s="24">
        <v>15</v>
      </c>
      <c r="S59" s="24">
        <v>15</v>
      </c>
      <c r="T59" s="24">
        <v>5</v>
      </c>
      <c r="U59" s="24">
        <v>5</v>
      </c>
      <c r="V59" s="24">
        <v>5</v>
      </c>
      <c r="W59" s="25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</row>
    <row r="60" spans="1:32" ht="16.8" x14ac:dyDescent="0.3">
      <c r="A60" s="130"/>
      <c r="B60" s="76" t="s">
        <v>86</v>
      </c>
      <c r="C60" s="24" t="s">
        <v>100</v>
      </c>
      <c r="D60" s="41"/>
      <c r="E60" s="24">
        <v>15</v>
      </c>
      <c r="F60" s="24">
        <v>15</v>
      </c>
      <c r="G60" s="24">
        <v>15</v>
      </c>
      <c r="H60" s="24">
        <v>15</v>
      </c>
      <c r="I60" s="24">
        <v>15</v>
      </c>
      <c r="J60" s="24">
        <v>15</v>
      </c>
      <c r="K60" s="24">
        <v>15</v>
      </c>
      <c r="L60" s="24">
        <v>15</v>
      </c>
      <c r="M60" s="24">
        <v>15</v>
      </c>
      <c r="N60" s="24">
        <v>15</v>
      </c>
      <c r="O60" s="24">
        <v>15</v>
      </c>
      <c r="P60" s="24">
        <v>15</v>
      </c>
      <c r="Q60" s="24">
        <v>15</v>
      </c>
      <c r="R60" s="24">
        <v>15</v>
      </c>
      <c r="S60" s="24">
        <v>15</v>
      </c>
      <c r="T60" s="24">
        <v>5</v>
      </c>
      <c r="U60" s="24">
        <v>5</v>
      </c>
      <c r="V60" s="24">
        <v>5</v>
      </c>
      <c r="W60" s="25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</row>
    <row r="61" spans="1:32" ht="16.8" x14ac:dyDescent="0.3">
      <c r="A61" s="130"/>
      <c r="B61" s="76" t="s">
        <v>87</v>
      </c>
      <c r="C61" s="24" t="s">
        <v>101</v>
      </c>
      <c r="D61" s="42"/>
      <c r="E61" s="24">
        <v>12</v>
      </c>
      <c r="F61" s="24">
        <v>12</v>
      </c>
      <c r="G61" s="24">
        <v>12</v>
      </c>
      <c r="H61" s="24">
        <v>12</v>
      </c>
      <c r="I61" s="24">
        <v>12</v>
      </c>
      <c r="J61" s="24">
        <v>12</v>
      </c>
      <c r="K61" s="24">
        <v>12</v>
      </c>
      <c r="L61" s="24">
        <v>12</v>
      </c>
      <c r="M61" s="24">
        <v>12</v>
      </c>
      <c r="N61" s="24">
        <v>12</v>
      </c>
      <c r="O61" s="24">
        <v>12</v>
      </c>
      <c r="P61" s="24">
        <v>12</v>
      </c>
      <c r="Q61" s="24">
        <v>12</v>
      </c>
      <c r="R61" s="24">
        <v>12</v>
      </c>
      <c r="S61" s="24">
        <v>12</v>
      </c>
      <c r="T61" s="24">
        <v>12</v>
      </c>
      <c r="U61" s="24">
        <v>12</v>
      </c>
      <c r="V61" s="24">
        <v>6</v>
      </c>
      <c r="W61" s="24">
        <v>6</v>
      </c>
      <c r="X61" s="25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</row>
    <row r="62" spans="1:32" ht="16.8" x14ac:dyDescent="0.3">
      <c r="A62" s="130"/>
      <c r="B62" s="76" t="s">
        <v>88</v>
      </c>
      <c r="C62" s="77" t="s">
        <v>102</v>
      </c>
      <c r="D62" s="43"/>
      <c r="E62" s="24">
        <v>12</v>
      </c>
      <c r="F62" s="24">
        <v>12</v>
      </c>
      <c r="G62" s="24">
        <v>12</v>
      </c>
      <c r="H62" s="24">
        <v>12</v>
      </c>
      <c r="I62" s="24">
        <v>12</v>
      </c>
      <c r="J62" s="24">
        <v>12</v>
      </c>
      <c r="K62" s="24">
        <v>12</v>
      </c>
      <c r="L62" s="24">
        <v>12</v>
      </c>
      <c r="M62" s="24">
        <v>12</v>
      </c>
      <c r="N62" s="24">
        <v>12</v>
      </c>
      <c r="O62" s="24">
        <v>12</v>
      </c>
      <c r="P62" s="24">
        <v>12</v>
      </c>
      <c r="Q62" s="24">
        <v>12</v>
      </c>
      <c r="R62" s="24">
        <v>12</v>
      </c>
      <c r="S62" s="24">
        <v>12</v>
      </c>
      <c r="T62" s="24">
        <v>12</v>
      </c>
      <c r="U62" s="24">
        <v>12</v>
      </c>
      <c r="V62" s="24">
        <v>6</v>
      </c>
      <c r="W62" s="24">
        <v>6</v>
      </c>
      <c r="X62" s="25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</row>
    <row r="63" spans="1:32" ht="16.8" x14ac:dyDescent="0.3">
      <c r="A63" s="130"/>
      <c r="B63" s="76" t="s">
        <v>107</v>
      </c>
      <c r="C63" s="24" t="s">
        <v>101</v>
      </c>
      <c r="D63" s="43"/>
      <c r="E63" s="24">
        <v>12</v>
      </c>
      <c r="F63" s="24">
        <v>12</v>
      </c>
      <c r="G63" s="24">
        <v>12</v>
      </c>
      <c r="H63" s="24">
        <v>12</v>
      </c>
      <c r="I63" s="24">
        <v>12</v>
      </c>
      <c r="J63" s="24">
        <v>12</v>
      </c>
      <c r="K63" s="24">
        <v>12</v>
      </c>
      <c r="L63" s="24">
        <v>12</v>
      </c>
      <c r="M63" s="24">
        <v>12</v>
      </c>
      <c r="N63" s="24">
        <v>12</v>
      </c>
      <c r="O63" s="24">
        <v>12</v>
      </c>
      <c r="P63" s="24">
        <v>12</v>
      </c>
      <c r="Q63" s="24">
        <v>12</v>
      </c>
      <c r="R63" s="24">
        <v>12</v>
      </c>
      <c r="S63" s="24">
        <v>12</v>
      </c>
      <c r="T63" s="24">
        <v>12</v>
      </c>
      <c r="U63" s="24">
        <v>12</v>
      </c>
      <c r="V63" s="24">
        <v>12</v>
      </c>
      <c r="W63" s="24">
        <v>6</v>
      </c>
      <c r="X63" s="24">
        <v>6</v>
      </c>
      <c r="Y63" s="25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</row>
    <row r="64" spans="1:32" ht="16.8" x14ac:dyDescent="0.3">
      <c r="A64" s="130"/>
      <c r="B64" s="76" t="s">
        <v>108</v>
      </c>
      <c r="C64" s="24" t="s">
        <v>102</v>
      </c>
      <c r="D64" s="43"/>
      <c r="E64" s="24">
        <v>12</v>
      </c>
      <c r="F64" s="24">
        <v>12</v>
      </c>
      <c r="G64" s="24">
        <v>12</v>
      </c>
      <c r="H64" s="24">
        <v>12</v>
      </c>
      <c r="I64" s="24">
        <v>12</v>
      </c>
      <c r="J64" s="24">
        <v>12</v>
      </c>
      <c r="K64" s="24">
        <v>12</v>
      </c>
      <c r="L64" s="24">
        <v>12</v>
      </c>
      <c r="M64" s="24">
        <v>12</v>
      </c>
      <c r="N64" s="24">
        <v>12</v>
      </c>
      <c r="O64" s="24">
        <v>12</v>
      </c>
      <c r="P64" s="24">
        <v>12</v>
      </c>
      <c r="Q64" s="24">
        <v>12</v>
      </c>
      <c r="R64" s="24">
        <v>12</v>
      </c>
      <c r="S64" s="24">
        <v>12</v>
      </c>
      <c r="T64" s="24">
        <v>12</v>
      </c>
      <c r="U64" s="24">
        <v>12</v>
      </c>
      <c r="V64" s="24">
        <v>12</v>
      </c>
      <c r="W64" s="24">
        <v>6</v>
      </c>
      <c r="X64" s="24">
        <v>6</v>
      </c>
      <c r="Y64" s="25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</row>
    <row r="65" spans="1:32" ht="16.8" x14ac:dyDescent="0.3">
      <c r="A65" s="130"/>
      <c r="B65" s="73" t="s">
        <v>91</v>
      </c>
      <c r="C65" s="112" t="s">
        <v>25</v>
      </c>
      <c r="D65" s="43"/>
      <c r="E65" s="24">
        <v>10</v>
      </c>
      <c r="F65" s="24">
        <v>10</v>
      </c>
      <c r="G65" s="24">
        <v>10</v>
      </c>
      <c r="H65" s="24">
        <v>10</v>
      </c>
      <c r="I65" s="24">
        <v>10</v>
      </c>
      <c r="J65" s="24">
        <v>10</v>
      </c>
      <c r="K65" s="24">
        <v>10</v>
      </c>
      <c r="L65" s="24">
        <v>10</v>
      </c>
      <c r="M65" s="24">
        <v>10</v>
      </c>
      <c r="N65" s="24">
        <v>10</v>
      </c>
      <c r="O65" s="24">
        <v>10</v>
      </c>
      <c r="P65" s="24">
        <v>10</v>
      </c>
      <c r="Q65" s="24">
        <v>10</v>
      </c>
      <c r="R65" s="24">
        <v>10</v>
      </c>
      <c r="S65" s="24">
        <v>10</v>
      </c>
      <c r="T65" s="24">
        <v>10</v>
      </c>
      <c r="U65" s="24">
        <v>10</v>
      </c>
      <c r="V65" s="24">
        <v>10</v>
      </c>
      <c r="W65" s="24">
        <v>10</v>
      </c>
      <c r="X65" s="24">
        <v>10</v>
      </c>
      <c r="Y65" s="25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</row>
    <row r="66" spans="1:32" ht="16.8" x14ac:dyDescent="0.3">
      <c r="A66" s="130" t="s">
        <v>35</v>
      </c>
      <c r="B66" s="73" t="s">
        <v>77</v>
      </c>
      <c r="C66" s="24" t="s">
        <v>61</v>
      </c>
      <c r="D66" s="42"/>
      <c r="E66" s="24">
        <v>1</v>
      </c>
      <c r="F66" s="82">
        <v>1</v>
      </c>
      <c r="G66" s="34">
        <v>1</v>
      </c>
      <c r="H66" s="34">
        <v>1</v>
      </c>
      <c r="I66" s="34">
        <v>1</v>
      </c>
      <c r="J66" s="34">
        <v>1</v>
      </c>
      <c r="K66" s="34">
        <v>1</v>
      </c>
      <c r="L66" s="34">
        <v>1</v>
      </c>
      <c r="M66" s="34">
        <v>1</v>
      </c>
      <c r="N66" s="34">
        <v>1</v>
      </c>
      <c r="O66" s="34">
        <v>1</v>
      </c>
      <c r="P66" s="34">
        <v>1</v>
      </c>
      <c r="Q66" s="34">
        <v>1</v>
      </c>
      <c r="R66" s="34">
        <v>1</v>
      </c>
      <c r="S66" s="34">
        <v>1</v>
      </c>
      <c r="T66" s="31">
        <v>1</v>
      </c>
      <c r="U66" s="30">
        <v>1</v>
      </c>
      <c r="V66" s="26">
        <v>1</v>
      </c>
      <c r="W66" s="26">
        <v>1</v>
      </c>
      <c r="X66" s="26">
        <v>1</v>
      </c>
      <c r="Y66" s="39">
        <v>1</v>
      </c>
      <c r="Z66" s="25">
        <v>0</v>
      </c>
      <c r="AA66" s="30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</row>
    <row r="67" spans="1:32" ht="16.8" x14ac:dyDescent="0.3">
      <c r="A67" s="130"/>
      <c r="B67" s="73" t="s">
        <v>78</v>
      </c>
      <c r="C67" s="24" t="s">
        <v>46</v>
      </c>
      <c r="D67" s="42"/>
      <c r="E67" s="24">
        <v>1</v>
      </c>
      <c r="F67" s="82">
        <v>1</v>
      </c>
      <c r="G67" s="34">
        <v>1</v>
      </c>
      <c r="H67" s="34">
        <v>1</v>
      </c>
      <c r="I67" s="34">
        <v>1</v>
      </c>
      <c r="J67" s="34">
        <v>1</v>
      </c>
      <c r="K67" s="34">
        <v>1</v>
      </c>
      <c r="L67" s="34">
        <v>1</v>
      </c>
      <c r="M67" s="34">
        <v>1</v>
      </c>
      <c r="N67" s="34">
        <v>1</v>
      </c>
      <c r="O67" s="34">
        <v>1</v>
      </c>
      <c r="P67" s="34">
        <v>1</v>
      </c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31">
        <v>1</v>
      </c>
      <c r="W67" s="30">
        <v>1</v>
      </c>
      <c r="X67" s="26">
        <v>1</v>
      </c>
      <c r="Y67" s="26">
        <v>1</v>
      </c>
      <c r="Z67" s="25">
        <v>0</v>
      </c>
      <c r="AA67" s="30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</row>
    <row r="68" spans="1:32" ht="16.8" x14ac:dyDescent="0.3">
      <c r="A68" s="130"/>
      <c r="B68" s="74" t="s">
        <v>79</v>
      </c>
      <c r="C68" s="24" t="s">
        <v>42</v>
      </c>
      <c r="D68" s="42"/>
      <c r="E68" s="24">
        <v>1</v>
      </c>
      <c r="F68" s="82">
        <v>1</v>
      </c>
      <c r="G68" s="34">
        <v>1</v>
      </c>
      <c r="H68" s="34">
        <v>1</v>
      </c>
      <c r="I68" s="34">
        <v>1</v>
      </c>
      <c r="J68" s="34">
        <v>1</v>
      </c>
      <c r="K68" s="34">
        <v>1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1">
        <v>1</v>
      </c>
      <c r="W68" s="30">
        <v>1</v>
      </c>
      <c r="X68" s="26">
        <v>1</v>
      </c>
      <c r="Y68" s="26">
        <v>1</v>
      </c>
      <c r="Z68" s="25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</row>
    <row r="69" spans="1:32" ht="16.8" x14ac:dyDescent="0.3">
      <c r="A69" s="130"/>
      <c r="B69" s="75" t="s">
        <v>80</v>
      </c>
      <c r="C69" s="24" t="s">
        <v>40</v>
      </c>
      <c r="D69" s="42"/>
      <c r="E69" s="24">
        <v>1</v>
      </c>
      <c r="F69" s="82">
        <v>1</v>
      </c>
      <c r="G69" s="34">
        <v>1</v>
      </c>
      <c r="H69" s="34">
        <v>1</v>
      </c>
      <c r="I69" s="34">
        <v>1</v>
      </c>
      <c r="J69" s="34">
        <v>1</v>
      </c>
      <c r="K69" s="34">
        <v>1</v>
      </c>
      <c r="L69" s="34">
        <v>1</v>
      </c>
      <c r="M69" s="34">
        <v>1</v>
      </c>
      <c r="N69" s="34">
        <v>1</v>
      </c>
      <c r="O69" s="34">
        <v>1</v>
      </c>
      <c r="P69" s="34">
        <v>1</v>
      </c>
      <c r="Q69" s="34">
        <v>1</v>
      </c>
      <c r="R69" s="34">
        <v>1</v>
      </c>
      <c r="S69" s="34">
        <v>1</v>
      </c>
      <c r="T69" s="34">
        <v>1</v>
      </c>
      <c r="U69" s="34">
        <v>1</v>
      </c>
      <c r="V69" s="31">
        <v>1</v>
      </c>
      <c r="W69" s="30">
        <v>1</v>
      </c>
      <c r="X69" s="26">
        <v>1</v>
      </c>
      <c r="Y69" s="26">
        <v>1</v>
      </c>
      <c r="Z69" s="25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</row>
    <row r="70" spans="1:32" ht="16.8" x14ac:dyDescent="0.3">
      <c r="A70" s="130"/>
      <c r="B70" s="74" t="s">
        <v>81</v>
      </c>
      <c r="C70" s="24" t="s">
        <v>46</v>
      </c>
      <c r="D70" s="42"/>
      <c r="E70" s="24">
        <v>1</v>
      </c>
      <c r="F70" s="82">
        <v>1</v>
      </c>
      <c r="G70" s="34">
        <v>1</v>
      </c>
      <c r="H70" s="34">
        <v>1</v>
      </c>
      <c r="I70" s="34">
        <v>1</v>
      </c>
      <c r="J70" s="34">
        <v>1</v>
      </c>
      <c r="K70" s="34">
        <v>1</v>
      </c>
      <c r="L70" s="34">
        <v>1</v>
      </c>
      <c r="M70" s="34">
        <v>1</v>
      </c>
      <c r="N70" s="34">
        <v>1</v>
      </c>
      <c r="O70" s="34">
        <v>1</v>
      </c>
      <c r="P70" s="34">
        <v>1</v>
      </c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34">
        <v>1</v>
      </c>
      <c r="W70" s="34">
        <v>1</v>
      </c>
      <c r="X70" s="34">
        <v>1</v>
      </c>
      <c r="Y70" s="26">
        <v>1</v>
      </c>
      <c r="Z70" s="25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</row>
    <row r="71" spans="1:32" ht="16.8" x14ac:dyDescent="0.3">
      <c r="A71" s="130"/>
      <c r="B71" s="74" t="s">
        <v>82</v>
      </c>
      <c r="C71" s="24" t="s">
        <v>44</v>
      </c>
      <c r="D71" s="42"/>
      <c r="E71" s="24">
        <v>1</v>
      </c>
      <c r="F71" s="82">
        <v>1</v>
      </c>
      <c r="G71" s="34">
        <v>1</v>
      </c>
      <c r="H71" s="34">
        <v>1</v>
      </c>
      <c r="I71" s="34">
        <v>1</v>
      </c>
      <c r="J71" s="34">
        <v>1</v>
      </c>
      <c r="K71" s="34">
        <v>1</v>
      </c>
      <c r="L71" s="34">
        <v>1</v>
      </c>
      <c r="M71" s="34">
        <v>1</v>
      </c>
      <c r="N71" s="34">
        <v>1</v>
      </c>
      <c r="O71" s="34">
        <v>1</v>
      </c>
      <c r="P71" s="34">
        <v>1</v>
      </c>
      <c r="Q71" s="34">
        <v>1</v>
      </c>
      <c r="R71" s="34">
        <v>1</v>
      </c>
      <c r="S71" s="34">
        <v>1</v>
      </c>
      <c r="T71" s="34">
        <v>1</v>
      </c>
      <c r="U71" s="34">
        <v>1</v>
      </c>
      <c r="V71" s="34">
        <v>1</v>
      </c>
      <c r="W71" s="31">
        <v>1</v>
      </c>
      <c r="X71" s="30">
        <v>1</v>
      </c>
      <c r="Y71" s="26">
        <v>1</v>
      </c>
      <c r="Z71" s="25">
        <v>0</v>
      </c>
      <c r="AA71" s="26">
        <v>0</v>
      </c>
      <c r="AB71" s="30">
        <v>0</v>
      </c>
      <c r="AC71" s="26">
        <v>0</v>
      </c>
      <c r="AD71" s="26">
        <v>0</v>
      </c>
      <c r="AE71" s="26">
        <v>0</v>
      </c>
      <c r="AF71" s="26">
        <v>0</v>
      </c>
    </row>
    <row r="72" spans="1:32" ht="16.8" x14ac:dyDescent="0.3">
      <c r="A72" s="130"/>
      <c r="B72" s="76" t="s">
        <v>83</v>
      </c>
      <c r="C72" s="24" t="s">
        <v>41</v>
      </c>
      <c r="D72" s="42"/>
      <c r="E72" s="24">
        <v>1</v>
      </c>
      <c r="F72" s="82">
        <v>1</v>
      </c>
      <c r="G72" s="34">
        <v>1</v>
      </c>
      <c r="H72" s="34">
        <v>1</v>
      </c>
      <c r="I72" s="34">
        <v>1</v>
      </c>
      <c r="J72" s="34">
        <v>1</v>
      </c>
      <c r="K72" s="34">
        <v>1</v>
      </c>
      <c r="L72" s="34">
        <v>1</v>
      </c>
      <c r="M72" s="34">
        <v>1</v>
      </c>
      <c r="N72" s="34">
        <v>1</v>
      </c>
      <c r="O72" s="34">
        <v>1</v>
      </c>
      <c r="P72" s="34">
        <v>1</v>
      </c>
      <c r="Q72" s="34">
        <v>1</v>
      </c>
      <c r="R72" s="34">
        <v>1</v>
      </c>
      <c r="S72" s="34">
        <v>1</v>
      </c>
      <c r="T72" s="34">
        <v>1</v>
      </c>
      <c r="U72" s="34">
        <v>1</v>
      </c>
      <c r="V72" s="34">
        <v>1</v>
      </c>
      <c r="W72" s="34">
        <v>1</v>
      </c>
      <c r="X72" s="34">
        <v>1</v>
      </c>
      <c r="Y72" s="34">
        <v>1</v>
      </c>
      <c r="Z72" s="34">
        <v>1</v>
      </c>
      <c r="AA72" s="25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</row>
    <row r="73" spans="1:32" ht="16.8" x14ac:dyDescent="0.3">
      <c r="A73" s="130"/>
      <c r="B73" s="76" t="s">
        <v>84</v>
      </c>
      <c r="C73" s="24" t="s">
        <v>42</v>
      </c>
      <c r="D73" s="42"/>
      <c r="E73" s="24">
        <v>1</v>
      </c>
      <c r="F73" s="82">
        <v>1</v>
      </c>
      <c r="G73" s="34">
        <v>1</v>
      </c>
      <c r="H73" s="34">
        <v>1</v>
      </c>
      <c r="I73" s="34">
        <v>1</v>
      </c>
      <c r="J73" s="34">
        <v>1</v>
      </c>
      <c r="K73" s="34">
        <v>1</v>
      </c>
      <c r="L73" s="34">
        <v>1</v>
      </c>
      <c r="M73" s="34">
        <v>1</v>
      </c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34">
        <v>1</v>
      </c>
      <c r="Y73" s="34">
        <v>1</v>
      </c>
      <c r="Z73" s="34">
        <v>1</v>
      </c>
      <c r="AA73" s="25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</row>
    <row r="74" spans="1:32" ht="33.6" x14ac:dyDescent="0.3">
      <c r="A74" s="130"/>
      <c r="B74" s="76" t="s">
        <v>85</v>
      </c>
      <c r="C74" s="24" t="s">
        <v>40</v>
      </c>
      <c r="D74" s="42"/>
      <c r="E74" s="24">
        <v>1</v>
      </c>
      <c r="F74" s="82">
        <v>1</v>
      </c>
      <c r="G74" s="34">
        <v>1</v>
      </c>
      <c r="H74" s="34">
        <v>1</v>
      </c>
      <c r="I74" s="34">
        <v>1</v>
      </c>
      <c r="J74" s="34">
        <v>1</v>
      </c>
      <c r="K74" s="34">
        <v>1</v>
      </c>
      <c r="L74" s="34">
        <v>1</v>
      </c>
      <c r="M74" s="34">
        <v>1</v>
      </c>
      <c r="N74" s="34">
        <v>1</v>
      </c>
      <c r="O74" s="34">
        <v>1</v>
      </c>
      <c r="P74" s="34">
        <v>1</v>
      </c>
      <c r="Q74" s="34">
        <v>1</v>
      </c>
      <c r="R74" s="34">
        <v>1</v>
      </c>
      <c r="S74" s="34">
        <v>1</v>
      </c>
      <c r="T74" s="34">
        <v>1</v>
      </c>
      <c r="U74" s="34">
        <v>1</v>
      </c>
      <c r="V74" s="31">
        <v>1</v>
      </c>
      <c r="W74" s="30">
        <v>1</v>
      </c>
      <c r="X74" s="26">
        <v>1</v>
      </c>
      <c r="Y74" s="26">
        <v>1</v>
      </c>
      <c r="Z74" s="26">
        <v>1</v>
      </c>
      <c r="AA74" s="25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</row>
    <row r="75" spans="1:32" ht="16.8" x14ac:dyDescent="0.3">
      <c r="A75" s="130"/>
      <c r="B75" s="76" t="s">
        <v>86</v>
      </c>
      <c r="C75" s="24" t="s">
        <v>42</v>
      </c>
      <c r="D75" s="42"/>
      <c r="E75" s="24">
        <v>1</v>
      </c>
      <c r="F75" s="82">
        <v>1</v>
      </c>
      <c r="G75" s="34">
        <v>1</v>
      </c>
      <c r="H75" s="34">
        <v>1</v>
      </c>
      <c r="I75" s="34">
        <v>1</v>
      </c>
      <c r="J75" s="34">
        <v>1</v>
      </c>
      <c r="K75" s="34">
        <v>1</v>
      </c>
      <c r="L75" s="34">
        <v>1</v>
      </c>
      <c r="M75" s="34">
        <v>1</v>
      </c>
      <c r="N75" s="34">
        <v>1</v>
      </c>
      <c r="O75" s="34">
        <v>1</v>
      </c>
      <c r="P75" s="34">
        <v>1</v>
      </c>
      <c r="Q75" s="34">
        <v>1</v>
      </c>
      <c r="R75" s="34">
        <v>1</v>
      </c>
      <c r="S75" s="34">
        <v>1</v>
      </c>
      <c r="T75" s="34">
        <v>1</v>
      </c>
      <c r="U75" s="34">
        <v>1</v>
      </c>
      <c r="V75" s="31">
        <v>1</v>
      </c>
      <c r="W75" s="30">
        <v>1</v>
      </c>
      <c r="X75" s="26">
        <v>1</v>
      </c>
      <c r="Y75" s="26">
        <v>1</v>
      </c>
      <c r="Z75" s="34">
        <v>1</v>
      </c>
      <c r="AA75" s="25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</row>
    <row r="76" spans="1:32" ht="16.8" x14ac:dyDescent="0.3">
      <c r="A76" s="130"/>
      <c r="B76" s="76" t="s">
        <v>87</v>
      </c>
      <c r="C76" s="24" t="s">
        <v>44</v>
      </c>
      <c r="D76" s="42"/>
      <c r="E76" s="24">
        <v>1</v>
      </c>
      <c r="F76" s="82">
        <v>1</v>
      </c>
      <c r="G76" s="34">
        <v>1</v>
      </c>
      <c r="H76" s="34">
        <v>1</v>
      </c>
      <c r="I76" s="34">
        <v>1</v>
      </c>
      <c r="J76" s="34">
        <v>1</v>
      </c>
      <c r="K76" s="34">
        <v>1</v>
      </c>
      <c r="L76" s="34">
        <v>1</v>
      </c>
      <c r="M76" s="34">
        <v>1</v>
      </c>
      <c r="N76" s="34">
        <v>1</v>
      </c>
      <c r="O76" s="34">
        <v>1</v>
      </c>
      <c r="P76" s="34">
        <v>1</v>
      </c>
      <c r="Q76" s="34">
        <v>1</v>
      </c>
      <c r="R76" s="34">
        <v>1</v>
      </c>
      <c r="S76" s="34">
        <v>1</v>
      </c>
      <c r="T76" s="34">
        <v>1</v>
      </c>
      <c r="U76" s="34">
        <v>1</v>
      </c>
      <c r="V76" s="31">
        <v>1</v>
      </c>
      <c r="W76" s="30">
        <v>1</v>
      </c>
      <c r="X76" s="26">
        <v>1</v>
      </c>
      <c r="Y76" s="26">
        <v>1</v>
      </c>
      <c r="Z76" s="34">
        <v>1</v>
      </c>
      <c r="AA76" s="25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</row>
    <row r="77" spans="1:32" ht="16.8" x14ac:dyDescent="0.3">
      <c r="A77" s="130"/>
      <c r="B77" s="76" t="s">
        <v>88</v>
      </c>
      <c r="C77" s="77" t="s">
        <v>46</v>
      </c>
      <c r="D77" s="42"/>
      <c r="E77" s="24">
        <v>1</v>
      </c>
      <c r="F77" s="82">
        <v>1</v>
      </c>
      <c r="G77" s="34">
        <v>1</v>
      </c>
      <c r="H77" s="34">
        <v>1</v>
      </c>
      <c r="I77" s="34">
        <v>1</v>
      </c>
      <c r="J77" s="34">
        <v>1</v>
      </c>
      <c r="K77" s="34">
        <v>1</v>
      </c>
      <c r="L77" s="34">
        <v>1</v>
      </c>
      <c r="M77" s="34">
        <v>1</v>
      </c>
      <c r="N77" s="34">
        <v>1</v>
      </c>
      <c r="O77" s="34">
        <v>1</v>
      </c>
      <c r="P77" s="34">
        <v>1</v>
      </c>
      <c r="Q77" s="34">
        <v>1</v>
      </c>
      <c r="R77" s="34">
        <v>1</v>
      </c>
      <c r="S77" s="34">
        <v>1</v>
      </c>
      <c r="T77" s="34">
        <v>1</v>
      </c>
      <c r="U77" s="34">
        <v>1</v>
      </c>
      <c r="V77" s="31">
        <v>1</v>
      </c>
      <c r="W77" s="30">
        <v>1</v>
      </c>
      <c r="X77" s="26">
        <v>1</v>
      </c>
      <c r="Y77" s="26">
        <v>1</v>
      </c>
      <c r="Z77" s="34">
        <v>1</v>
      </c>
      <c r="AA77" s="25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</row>
    <row r="78" spans="1:32" ht="16.8" x14ac:dyDescent="0.3">
      <c r="A78" s="130"/>
      <c r="B78" s="76" t="s">
        <v>107</v>
      </c>
      <c r="C78" s="24" t="s">
        <v>44</v>
      </c>
      <c r="D78" s="42"/>
      <c r="E78" s="24">
        <v>1</v>
      </c>
      <c r="F78" s="24">
        <v>1</v>
      </c>
      <c r="G78" s="24">
        <v>1</v>
      </c>
      <c r="H78" s="24">
        <v>1</v>
      </c>
      <c r="I78" s="24">
        <v>1</v>
      </c>
      <c r="J78" s="24">
        <v>1</v>
      </c>
      <c r="K78" s="24">
        <v>1</v>
      </c>
      <c r="L78" s="24">
        <v>1</v>
      </c>
      <c r="M78" s="24">
        <v>1</v>
      </c>
      <c r="N78" s="24">
        <v>1</v>
      </c>
      <c r="O78" s="24">
        <v>1</v>
      </c>
      <c r="P78" s="24">
        <v>1</v>
      </c>
      <c r="Q78" s="24">
        <v>1</v>
      </c>
      <c r="R78" s="24">
        <v>1</v>
      </c>
      <c r="S78" s="24">
        <v>1</v>
      </c>
      <c r="T78" s="24">
        <v>1</v>
      </c>
      <c r="U78" s="24">
        <v>1</v>
      </c>
      <c r="V78" s="24">
        <v>1</v>
      </c>
      <c r="W78" s="24">
        <v>1</v>
      </c>
      <c r="X78" s="24">
        <v>1</v>
      </c>
      <c r="Y78" s="24">
        <v>1</v>
      </c>
      <c r="Z78" s="24">
        <v>1</v>
      </c>
      <c r="AA78" s="25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</row>
    <row r="79" spans="1:32" ht="16.8" x14ac:dyDescent="0.3">
      <c r="A79" s="130"/>
      <c r="B79" s="76" t="s">
        <v>108</v>
      </c>
      <c r="C79" s="24" t="s">
        <v>41</v>
      </c>
      <c r="D79" s="42"/>
      <c r="E79" s="24">
        <v>1</v>
      </c>
      <c r="F79" s="24">
        <v>1</v>
      </c>
      <c r="G79" s="24">
        <v>1</v>
      </c>
      <c r="H79" s="24">
        <v>1</v>
      </c>
      <c r="I79" s="24">
        <v>1</v>
      </c>
      <c r="J79" s="24">
        <v>1</v>
      </c>
      <c r="K79" s="24">
        <v>1</v>
      </c>
      <c r="L79" s="24">
        <v>1</v>
      </c>
      <c r="M79" s="24">
        <v>1</v>
      </c>
      <c r="N79" s="24">
        <v>1</v>
      </c>
      <c r="O79" s="24">
        <v>1</v>
      </c>
      <c r="P79" s="24">
        <v>1</v>
      </c>
      <c r="Q79" s="24">
        <v>1</v>
      </c>
      <c r="R79" s="24">
        <v>1</v>
      </c>
      <c r="S79" s="24">
        <v>1</v>
      </c>
      <c r="T79" s="24">
        <v>1</v>
      </c>
      <c r="U79" s="24">
        <v>1</v>
      </c>
      <c r="V79" s="24">
        <v>1</v>
      </c>
      <c r="W79" s="24">
        <v>1</v>
      </c>
      <c r="X79" s="24">
        <v>1</v>
      </c>
      <c r="Y79" s="24">
        <v>1</v>
      </c>
      <c r="Z79" s="24">
        <v>1</v>
      </c>
      <c r="AA79" s="25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</row>
    <row r="80" spans="1:32" ht="16.8" x14ac:dyDescent="0.3">
      <c r="A80" s="130" t="s">
        <v>36</v>
      </c>
      <c r="B80" s="73" t="s">
        <v>77</v>
      </c>
      <c r="C80" s="78" t="s">
        <v>69</v>
      </c>
      <c r="D80" s="42"/>
      <c r="E80" s="24">
        <v>1</v>
      </c>
      <c r="F80" s="82">
        <v>1</v>
      </c>
      <c r="G80" s="34">
        <v>1</v>
      </c>
      <c r="H80" s="34">
        <v>1</v>
      </c>
      <c r="I80" s="34">
        <v>1</v>
      </c>
      <c r="J80" s="34">
        <v>1</v>
      </c>
      <c r="K80" s="34">
        <v>1</v>
      </c>
      <c r="L80" s="34">
        <v>1</v>
      </c>
      <c r="M80" s="34">
        <v>1</v>
      </c>
      <c r="N80" s="34">
        <v>1</v>
      </c>
      <c r="O80" s="34">
        <v>1</v>
      </c>
      <c r="P80" s="34">
        <v>1</v>
      </c>
      <c r="Q80" s="34">
        <v>1</v>
      </c>
      <c r="R80" s="34">
        <v>1</v>
      </c>
      <c r="S80" s="34">
        <v>1</v>
      </c>
      <c r="T80" s="34">
        <v>1</v>
      </c>
      <c r="U80" s="34">
        <v>1</v>
      </c>
      <c r="V80" s="34">
        <v>1</v>
      </c>
      <c r="W80" s="34">
        <v>1</v>
      </c>
      <c r="X80" s="34">
        <v>1</v>
      </c>
      <c r="Y80" s="34">
        <v>1</v>
      </c>
      <c r="Z80" s="34">
        <v>1</v>
      </c>
      <c r="AA80" s="34">
        <v>1</v>
      </c>
      <c r="AB80" s="25">
        <v>0</v>
      </c>
      <c r="AC80" s="26">
        <v>0</v>
      </c>
      <c r="AD80" s="26">
        <v>0</v>
      </c>
      <c r="AE80" s="26">
        <v>0</v>
      </c>
      <c r="AF80" s="26">
        <v>0</v>
      </c>
    </row>
    <row r="81" spans="1:32" ht="16.8" x14ac:dyDescent="0.3">
      <c r="A81" s="130"/>
      <c r="B81" s="73" t="s">
        <v>78</v>
      </c>
      <c r="C81" s="24" t="s">
        <v>68</v>
      </c>
      <c r="D81" s="42"/>
      <c r="E81" s="24">
        <v>2</v>
      </c>
      <c r="F81" s="82">
        <v>1</v>
      </c>
      <c r="G81" s="34">
        <v>1</v>
      </c>
      <c r="H81" s="34">
        <v>1</v>
      </c>
      <c r="I81" s="34">
        <v>1</v>
      </c>
      <c r="J81" s="34">
        <v>1</v>
      </c>
      <c r="K81" s="34">
        <v>1</v>
      </c>
      <c r="L81" s="34">
        <v>1</v>
      </c>
      <c r="M81" s="34">
        <v>1</v>
      </c>
      <c r="N81" s="34">
        <v>1</v>
      </c>
      <c r="O81" s="34">
        <v>1</v>
      </c>
      <c r="P81" s="34">
        <v>1</v>
      </c>
      <c r="Q81" s="34">
        <v>1</v>
      </c>
      <c r="R81" s="34">
        <v>1</v>
      </c>
      <c r="S81" s="34">
        <v>1</v>
      </c>
      <c r="T81" s="34">
        <v>1</v>
      </c>
      <c r="U81" s="34">
        <v>1</v>
      </c>
      <c r="V81" s="34">
        <v>1</v>
      </c>
      <c r="W81" s="34">
        <v>1</v>
      </c>
      <c r="X81" s="34">
        <v>1</v>
      </c>
      <c r="Y81" s="34">
        <v>1</v>
      </c>
      <c r="Z81" s="34">
        <v>1</v>
      </c>
      <c r="AA81" s="34">
        <v>1</v>
      </c>
      <c r="AB81" s="25">
        <v>0</v>
      </c>
      <c r="AC81" s="26">
        <v>0</v>
      </c>
      <c r="AD81" s="26">
        <v>0</v>
      </c>
      <c r="AE81" s="26">
        <v>0</v>
      </c>
      <c r="AF81" s="26">
        <v>0</v>
      </c>
    </row>
    <row r="82" spans="1:32" ht="16.8" x14ac:dyDescent="0.3">
      <c r="A82" s="130"/>
      <c r="B82" s="74" t="s">
        <v>79</v>
      </c>
      <c r="C82" s="24" t="s">
        <v>94</v>
      </c>
      <c r="D82" s="42"/>
      <c r="E82" s="24">
        <v>2</v>
      </c>
      <c r="F82" s="82">
        <v>1</v>
      </c>
      <c r="G82" s="34">
        <v>1</v>
      </c>
      <c r="H82" s="34">
        <v>1</v>
      </c>
      <c r="I82" s="34">
        <v>1</v>
      </c>
      <c r="J82" s="34">
        <v>1</v>
      </c>
      <c r="K82" s="34">
        <v>1</v>
      </c>
      <c r="L82" s="34">
        <v>1</v>
      </c>
      <c r="M82" s="34">
        <v>1</v>
      </c>
      <c r="N82" s="34">
        <v>1</v>
      </c>
      <c r="O82" s="34">
        <v>1</v>
      </c>
      <c r="P82" s="34">
        <v>1</v>
      </c>
      <c r="Q82" s="34">
        <v>1</v>
      </c>
      <c r="R82" s="34">
        <v>1</v>
      </c>
      <c r="S82" s="34">
        <v>1</v>
      </c>
      <c r="T82" s="34">
        <v>1</v>
      </c>
      <c r="U82" s="34">
        <v>1</v>
      </c>
      <c r="V82" s="34">
        <v>1</v>
      </c>
      <c r="W82" s="34">
        <v>1</v>
      </c>
      <c r="X82" s="34">
        <v>1</v>
      </c>
      <c r="Y82" s="34">
        <v>1</v>
      </c>
      <c r="Z82" s="34">
        <v>1</v>
      </c>
      <c r="AA82" s="34">
        <v>1</v>
      </c>
      <c r="AB82" s="25">
        <v>0</v>
      </c>
      <c r="AC82" s="26">
        <v>0</v>
      </c>
      <c r="AD82" s="26">
        <v>0</v>
      </c>
      <c r="AE82" s="26">
        <v>0</v>
      </c>
      <c r="AF82" s="26">
        <v>0</v>
      </c>
    </row>
    <row r="83" spans="1:32" ht="16.8" x14ac:dyDescent="0.3">
      <c r="A83" s="130"/>
      <c r="B83" s="75" t="s">
        <v>80</v>
      </c>
      <c r="C83" s="24" t="s">
        <v>95</v>
      </c>
      <c r="D83" s="42"/>
      <c r="E83" s="24">
        <v>2</v>
      </c>
      <c r="F83" s="82">
        <v>2</v>
      </c>
      <c r="G83" s="34">
        <v>2</v>
      </c>
      <c r="H83" s="34">
        <v>2</v>
      </c>
      <c r="I83" s="34">
        <v>2</v>
      </c>
      <c r="J83" s="34">
        <v>2</v>
      </c>
      <c r="K83" s="34">
        <v>2</v>
      </c>
      <c r="L83" s="34">
        <v>2</v>
      </c>
      <c r="M83" s="34">
        <v>2</v>
      </c>
      <c r="N83" s="34">
        <v>2</v>
      </c>
      <c r="O83" s="34">
        <v>2</v>
      </c>
      <c r="P83" s="34">
        <v>2</v>
      </c>
      <c r="Q83" s="34">
        <v>2</v>
      </c>
      <c r="R83" s="34">
        <v>2</v>
      </c>
      <c r="S83" s="34">
        <v>2</v>
      </c>
      <c r="T83" s="34">
        <v>2</v>
      </c>
      <c r="U83" s="34">
        <v>2</v>
      </c>
      <c r="V83" s="34">
        <v>2</v>
      </c>
      <c r="W83" s="34">
        <v>2</v>
      </c>
      <c r="X83" s="34">
        <v>2</v>
      </c>
      <c r="Y83" s="34">
        <v>2</v>
      </c>
      <c r="Z83" s="34">
        <v>2</v>
      </c>
      <c r="AA83" s="34">
        <v>2</v>
      </c>
      <c r="AB83" s="25">
        <v>0</v>
      </c>
      <c r="AC83" s="26">
        <v>0</v>
      </c>
      <c r="AD83" s="26">
        <v>0</v>
      </c>
      <c r="AE83" s="26">
        <v>0</v>
      </c>
      <c r="AF83" s="26">
        <v>0</v>
      </c>
    </row>
    <row r="84" spans="1:32" ht="16.8" x14ac:dyDescent="0.3">
      <c r="A84" s="130"/>
      <c r="B84" s="74" t="s">
        <v>81</v>
      </c>
      <c r="C84" s="24" t="s">
        <v>96</v>
      </c>
      <c r="D84" s="42"/>
      <c r="E84" s="24">
        <v>2</v>
      </c>
      <c r="F84" s="82">
        <v>1</v>
      </c>
      <c r="G84" s="34">
        <v>1</v>
      </c>
      <c r="H84" s="34">
        <v>1</v>
      </c>
      <c r="I84" s="34">
        <v>1</v>
      </c>
      <c r="J84" s="34">
        <v>1</v>
      </c>
      <c r="K84" s="34">
        <v>1</v>
      </c>
      <c r="L84" s="34">
        <v>1</v>
      </c>
      <c r="M84" s="34">
        <v>1</v>
      </c>
      <c r="N84" s="34">
        <v>1</v>
      </c>
      <c r="O84" s="34">
        <v>1</v>
      </c>
      <c r="P84" s="34">
        <v>1</v>
      </c>
      <c r="Q84" s="34">
        <v>1</v>
      </c>
      <c r="R84" s="34">
        <v>1</v>
      </c>
      <c r="S84" s="34">
        <v>1</v>
      </c>
      <c r="T84" s="34">
        <v>1</v>
      </c>
      <c r="U84" s="34">
        <v>1</v>
      </c>
      <c r="V84" s="34">
        <v>1</v>
      </c>
      <c r="W84" s="34">
        <v>1</v>
      </c>
      <c r="X84" s="34">
        <v>1</v>
      </c>
      <c r="Y84" s="34">
        <v>1</v>
      </c>
      <c r="Z84" s="34">
        <v>1</v>
      </c>
      <c r="AA84" s="34">
        <v>1</v>
      </c>
      <c r="AB84" s="25">
        <v>0</v>
      </c>
      <c r="AC84" s="26">
        <v>0</v>
      </c>
      <c r="AD84" s="26">
        <v>0</v>
      </c>
      <c r="AE84" s="26">
        <v>0</v>
      </c>
      <c r="AF84" s="26">
        <v>0</v>
      </c>
    </row>
    <row r="85" spans="1:32" ht="16.8" x14ac:dyDescent="0.3">
      <c r="A85" s="130"/>
      <c r="B85" s="74" t="s">
        <v>82</v>
      </c>
      <c r="C85" s="24" t="s">
        <v>64</v>
      </c>
      <c r="D85" s="42"/>
      <c r="E85" s="24">
        <v>1</v>
      </c>
      <c r="F85" s="82">
        <v>1</v>
      </c>
      <c r="G85" s="34">
        <v>1</v>
      </c>
      <c r="H85" s="34">
        <v>1</v>
      </c>
      <c r="I85" s="34">
        <v>1</v>
      </c>
      <c r="J85" s="34">
        <v>1</v>
      </c>
      <c r="K85" s="34">
        <v>1</v>
      </c>
      <c r="L85" s="34">
        <v>1</v>
      </c>
      <c r="M85" s="34">
        <v>1</v>
      </c>
      <c r="N85" s="34">
        <v>1</v>
      </c>
      <c r="O85" s="34">
        <v>1</v>
      </c>
      <c r="P85" s="34">
        <v>1</v>
      </c>
      <c r="Q85" s="34">
        <v>1</v>
      </c>
      <c r="R85" s="34">
        <v>1</v>
      </c>
      <c r="S85" s="34">
        <v>1</v>
      </c>
      <c r="T85" s="34">
        <v>1</v>
      </c>
      <c r="U85" s="34">
        <v>1</v>
      </c>
      <c r="V85" s="34">
        <v>1</v>
      </c>
      <c r="W85" s="34">
        <v>1</v>
      </c>
      <c r="X85" s="34">
        <v>1</v>
      </c>
      <c r="Y85" s="34">
        <v>1</v>
      </c>
      <c r="Z85" s="34">
        <v>1</v>
      </c>
      <c r="AA85" s="34">
        <v>1</v>
      </c>
      <c r="AB85" s="25">
        <v>0</v>
      </c>
      <c r="AC85" s="26">
        <v>0</v>
      </c>
      <c r="AD85" s="26">
        <v>0</v>
      </c>
      <c r="AE85" s="26">
        <v>0</v>
      </c>
      <c r="AF85" s="26">
        <v>0</v>
      </c>
    </row>
    <row r="86" spans="1:32" ht="16.8" x14ac:dyDescent="0.3">
      <c r="A86" s="130"/>
      <c r="B86" s="76" t="s">
        <v>83</v>
      </c>
      <c r="C86" s="24" t="s">
        <v>97</v>
      </c>
      <c r="D86" s="42"/>
      <c r="E86" s="24">
        <v>1</v>
      </c>
      <c r="F86" s="82">
        <v>1</v>
      </c>
      <c r="G86" s="34">
        <v>1</v>
      </c>
      <c r="H86" s="34">
        <v>1</v>
      </c>
      <c r="I86" s="34">
        <v>1</v>
      </c>
      <c r="J86" s="34">
        <v>1</v>
      </c>
      <c r="K86" s="34">
        <v>1</v>
      </c>
      <c r="L86" s="34">
        <v>1</v>
      </c>
      <c r="M86" s="34">
        <v>1</v>
      </c>
      <c r="N86" s="34">
        <v>1</v>
      </c>
      <c r="O86" s="34">
        <v>1</v>
      </c>
      <c r="P86" s="34">
        <v>1</v>
      </c>
      <c r="Q86" s="34">
        <v>1</v>
      </c>
      <c r="R86" s="34">
        <v>1</v>
      </c>
      <c r="S86" s="34">
        <v>1</v>
      </c>
      <c r="T86" s="34">
        <v>1</v>
      </c>
      <c r="U86" s="34">
        <v>1</v>
      </c>
      <c r="V86" s="34">
        <v>1</v>
      </c>
      <c r="W86" s="34">
        <v>1</v>
      </c>
      <c r="X86" s="34">
        <v>1</v>
      </c>
      <c r="Y86" s="34">
        <v>1</v>
      </c>
      <c r="Z86" s="34">
        <v>1</v>
      </c>
      <c r="AA86" s="34">
        <v>1</v>
      </c>
      <c r="AB86" s="34">
        <v>1</v>
      </c>
      <c r="AC86" s="25">
        <v>0</v>
      </c>
      <c r="AD86" s="26">
        <v>0</v>
      </c>
      <c r="AE86" s="26">
        <v>0</v>
      </c>
      <c r="AF86" s="26">
        <v>0</v>
      </c>
    </row>
    <row r="87" spans="1:32" ht="16.8" x14ac:dyDescent="0.3">
      <c r="A87" s="130"/>
      <c r="B87" s="76" t="s">
        <v>84</v>
      </c>
      <c r="C87" s="24" t="s">
        <v>98</v>
      </c>
      <c r="D87" s="42"/>
      <c r="E87" s="24">
        <v>2</v>
      </c>
      <c r="F87" s="82">
        <v>2</v>
      </c>
      <c r="G87" s="34">
        <v>2</v>
      </c>
      <c r="H87" s="34">
        <v>2</v>
      </c>
      <c r="I87" s="34">
        <v>2</v>
      </c>
      <c r="J87" s="34">
        <v>2</v>
      </c>
      <c r="K87" s="34">
        <v>2</v>
      </c>
      <c r="L87" s="34">
        <v>2</v>
      </c>
      <c r="M87" s="34">
        <v>2</v>
      </c>
      <c r="N87" s="34">
        <v>2</v>
      </c>
      <c r="O87" s="34">
        <v>2</v>
      </c>
      <c r="P87" s="34">
        <v>2</v>
      </c>
      <c r="Q87" s="34">
        <v>2</v>
      </c>
      <c r="R87" s="34">
        <v>2</v>
      </c>
      <c r="S87" s="34">
        <v>2</v>
      </c>
      <c r="T87" s="34">
        <v>2</v>
      </c>
      <c r="U87" s="34">
        <v>2</v>
      </c>
      <c r="V87" s="34">
        <v>2</v>
      </c>
      <c r="W87" s="34">
        <v>2</v>
      </c>
      <c r="X87" s="34">
        <v>2</v>
      </c>
      <c r="Y87" s="34">
        <v>2</v>
      </c>
      <c r="Z87" s="34">
        <v>2</v>
      </c>
      <c r="AA87" s="34">
        <v>2</v>
      </c>
      <c r="AB87" s="34">
        <v>2</v>
      </c>
      <c r="AC87" s="25">
        <v>0</v>
      </c>
      <c r="AD87" s="26">
        <v>0</v>
      </c>
      <c r="AE87" s="26">
        <v>0</v>
      </c>
      <c r="AF87" s="26">
        <v>0</v>
      </c>
    </row>
    <row r="88" spans="1:32" ht="33.6" x14ac:dyDescent="0.3">
      <c r="A88" s="130"/>
      <c r="B88" s="76" t="s">
        <v>85</v>
      </c>
      <c r="C88" s="24" t="s">
        <v>99</v>
      </c>
      <c r="D88" s="42"/>
      <c r="E88" s="24">
        <v>2</v>
      </c>
      <c r="F88" s="82">
        <v>2</v>
      </c>
      <c r="G88" s="34">
        <v>2</v>
      </c>
      <c r="H88" s="34">
        <v>2</v>
      </c>
      <c r="I88" s="34">
        <v>2</v>
      </c>
      <c r="J88" s="34">
        <v>2</v>
      </c>
      <c r="K88" s="34">
        <v>2</v>
      </c>
      <c r="L88" s="34">
        <v>2</v>
      </c>
      <c r="M88" s="34">
        <v>2</v>
      </c>
      <c r="N88" s="34">
        <v>2</v>
      </c>
      <c r="O88" s="34">
        <v>2</v>
      </c>
      <c r="P88" s="34">
        <v>2</v>
      </c>
      <c r="Q88" s="34">
        <v>2</v>
      </c>
      <c r="R88" s="34">
        <v>2</v>
      </c>
      <c r="S88" s="34">
        <v>2</v>
      </c>
      <c r="T88" s="34">
        <v>2</v>
      </c>
      <c r="U88" s="34">
        <v>2</v>
      </c>
      <c r="V88" s="34">
        <v>2</v>
      </c>
      <c r="W88" s="34">
        <v>2</v>
      </c>
      <c r="X88" s="34">
        <v>2</v>
      </c>
      <c r="Y88" s="34">
        <v>2</v>
      </c>
      <c r="Z88" s="34">
        <v>2</v>
      </c>
      <c r="AA88" s="34">
        <v>2</v>
      </c>
      <c r="AB88" s="34">
        <v>2</v>
      </c>
      <c r="AC88" s="25">
        <v>0</v>
      </c>
      <c r="AD88" s="26">
        <v>0</v>
      </c>
      <c r="AE88" s="26">
        <v>0</v>
      </c>
      <c r="AF88" s="26">
        <v>0</v>
      </c>
    </row>
    <row r="89" spans="1:32" ht="16.8" x14ac:dyDescent="0.3">
      <c r="A89" s="130"/>
      <c r="B89" s="76" t="s">
        <v>86</v>
      </c>
      <c r="C89" s="24" t="s">
        <v>100</v>
      </c>
      <c r="D89" s="42"/>
      <c r="E89" s="24">
        <v>2</v>
      </c>
      <c r="F89" s="82">
        <v>2</v>
      </c>
      <c r="G89" s="34">
        <v>2</v>
      </c>
      <c r="H89" s="34">
        <v>2</v>
      </c>
      <c r="I89" s="34">
        <v>2</v>
      </c>
      <c r="J89" s="34">
        <v>2</v>
      </c>
      <c r="K89" s="34">
        <v>2</v>
      </c>
      <c r="L89" s="34">
        <v>2</v>
      </c>
      <c r="M89" s="34">
        <v>2</v>
      </c>
      <c r="N89" s="34">
        <v>2</v>
      </c>
      <c r="O89" s="34">
        <v>2</v>
      </c>
      <c r="P89" s="34">
        <v>2</v>
      </c>
      <c r="Q89" s="34">
        <v>2</v>
      </c>
      <c r="R89" s="34">
        <v>2</v>
      </c>
      <c r="S89" s="34">
        <v>2</v>
      </c>
      <c r="T89" s="34">
        <v>2</v>
      </c>
      <c r="U89" s="34">
        <v>2</v>
      </c>
      <c r="V89" s="34">
        <v>2</v>
      </c>
      <c r="W89" s="31">
        <v>2</v>
      </c>
      <c r="X89" s="31">
        <v>2</v>
      </c>
      <c r="Y89" s="30">
        <v>2</v>
      </c>
      <c r="Z89" s="26">
        <v>2</v>
      </c>
      <c r="AA89" s="26">
        <v>2</v>
      </c>
      <c r="AB89" s="26">
        <v>2</v>
      </c>
      <c r="AC89" s="25">
        <v>0</v>
      </c>
      <c r="AD89" s="26">
        <v>0</v>
      </c>
      <c r="AE89" s="26">
        <v>0</v>
      </c>
      <c r="AF89" s="26">
        <v>0</v>
      </c>
    </row>
    <row r="90" spans="1:32" ht="16.8" x14ac:dyDescent="0.3">
      <c r="A90" s="130"/>
      <c r="B90" s="76" t="s">
        <v>87</v>
      </c>
      <c r="C90" s="24" t="s">
        <v>101</v>
      </c>
      <c r="D90" s="42"/>
      <c r="E90" s="24">
        <v>2</v>
      </c>
      <c r="F90" s="82">
        <v>2</v>
      </c>
      <c r="G90" s="34">
        <v>2</v>
      </c>
      <c r="H90" s="34">
        <v>2</v>
      </c>
      <c r="I90" s="34">
        <v>2</v>
      </c>
      <c r="J90" s="34">
        <v>2</v>
      </c>
      <c r="K90" s="34">
        <v>2</v>
      </c>
      <c r="L90" s="34">
        <v>2</v>
      </c>
      <c r="M90" s="34">
        <v>2</v>
      </c>
      <c r="N90" s="34">
        <v>2</v>
      </c>
      <c r="O90" s="34">
        <v>2</v>
      </c>
      <c r="P90" s="34">
        <v>2</v>
      </c>
      <c r="Q90" s="34">
        <v>2</v>
      </c>
      <c r="R90" s="34">
        <v>2</v>
      </c>
      <c r="S90" s="34">
        <v>2</v>
      </c>
      <c r="T90" s="34">
        <v>2</v>
      </c>
      <c r="U90" s="34">
        <v>2</v>
      </c>
      <c r="V90" s="34">
        <v>2</v>
      </c>
      <c r="W90" s="31">
        <v>2</v>
      </c>
      <c r="X90" s="31">
        <v>2</v>
      </c>
      <c r="Y90" s="31">
        <v>2</v>
      </c>
      <c r="Z90" s="30">
        <v>2</v>
      </c>
      <c r="AA90" s="26">
        <v>2</v>
      </c>
      <c r="AB90" s="26">
        <v>2</v>
      </c>
      <c r="AC90" s="25">
        <v>0</v>
      </c>
      <c r="AD90" s="26">
        <v>0</v>
      </c>
      <c r="AE90" s="26">
        <v>0</v>
      </c>
      <c r="AF90" s="26">
        <v>0</v>
      </c>
    </row>
    <row r="91" spans="1:32" ht="15.6" customHeight="1" x14ac:dyDescent="0.3">
      <c r="A91" s="130"/>
      <c r="B91" s="76" t="s">
        <v>88</v>
      </c>
      <c r="C91" s="77" t="s">
        <v>102</v>
      </c>
      <c r="D91" s="42"/>
      <c r="E91" s="24">
        <v>2</v>
      </c>
      <c r="F91" s="82">
        <v>2</v>
      </c>
      <c r="G91" s="34">
        <v>2</v>
      </c>
      <c r="H91" s="34">
        <v>2</v>
      </c>
      <c r="I91" s="34">
        <v>2</v>
      </c>
      <c r="J91" s="34">
        <v>2</v>
      </c>
      <c r="K91" s="34">
        <v>2</v>
      </c>
      <c r="L91" s="34">
        <v>2</v>
      </c>
      <c r="M91" s="34">
        <v>2</v>
      </c>
      <c r="N91" s="34">
        <v>2</v>
      </c>
      <c r="O91" s="34">
        <v>2</v>
      </c>
      <c r="P91" s="34">
        <v>2</v>
      </c>
      <c r="Q91" s="34">
        <v>2</v>
      </c>
      <c r="R91" s="34">
        <v>2</v>
      </c>
      <c r="S91" s="34">
        <v>2</v>
      </c>
      <c r="T91" s="34">
        <v>2</v>
      </c>
      <c r="U91" s="34">
        <v>2</v>
      </c>
      <c r="V91" s="34">
        <v>2</v>
      </c>
      <c r="W91" s="34">
        <v>2</v>
      </c>
      <c r="X91" s="34">
        <v>2</v>
      </c>
      <c r="Y91" s="34">
        <v>2</v>
      </c>
      <c r="Z91" s="34">
        <v>2</v>
      </c>
      <c r="AA91" s="34">
        <v>2</v>
      </c>
      <c r="AB91" s="26">
        <v>2</v>
      </c>
      <c r="AC91" s="25">
        <v>0</v>
      </c>
      <c r="AD91" s="26">
        <v>0</v>
      </c>
      <c r="AE91" s="26">
        <v>0</v>
      </c>
      <c r="AF91" s="26">
        <v>0</v>
      </c>
    </row>
    <row r="92" spans="1:32" ht="16.8" x14ac:dyDescent="0.3">
      <c r="A92" s="130"/>
      <c r="B92" s="76" t="s">
        <v>107</v>
      </c>
      <c r="C92" s="24" t="s">
        <v>101</v>
      </c>
      <c r="D92" s="117"/>
      <c r="E92" s="24">
        <v>2</v>
      </c>
      <c r="F92" s="24">
        <v>2</v>
      </c>
      <c r="G92" s="24">
        <v>2</v>
      </c>
      <c r="H92" s="24">
        <v>2</v>
      </c>
      <c r="I92" s="24">
        <v>2</v>
      </c>
      <c r="J92" s="24">
        <v>2</v>
      </c>
      <c r="K92" s="24">
        <v>2</v>
      </c>
      <c r="L92" s="24">
        <v>2</v>
      </c>
      <c r="M92" s="24">
        <v>2</v>
      </c>
      <c r="N92" s="24">
        <v>2</v>
      </c>
      <c r="O92" s="24">
        <v>2</v>
      </c>
      <c r="P92" s="24">
        <v>2</v>
      </c>
      <c r="Q92" s="24">
        <v>2</v>
      </c>
      <c r="R92" s="24">
        <v>2</v>
      </c>
      <c r="S92" s="24">
        <v>2</v>
      </c>
      <c r="T92" s="24">
        <v>2</v>
      </c>
      <c r="U92" s="24">
        <v>2</v>
      </c>
      <c r="V92" s="24">
        <v>2</v>
      </c>
      <c r="W92" s="24">
        <v>2</v>
      </c>
      <c r="X92" s="24">
        <v>2</v>
      </c>
      <c r="Y92" s="24">
        <v>2</v>
      </c>
      <c r="Z92" s="24">
        <v>2</v>
      </c>
      <c r="AA92" s="24">
        <v>2</v>
      </c>
      <c r="AB92" s="24">
        <v>2</v>
      </c>
      <c r="AC92" s="25">
        <v>0</v>
      </c>
      <c r="AD92" s="26">
        <v>0</v>
      </c>
      <c r="AE92" s="26">
        <v>0</v>
      </c>
      <c r="AF92" s="26">
        <v>0</v>
      </c>
    </row>
    <row r="93" spans="1:32" ht="16.8" x14ac:dyDescent="0.3">
      <c r="A93" s="130"/>
      <c r="B93" s="76" t="s">
        <v>108</v>
      </c>
      <c r="C93" s="24" t="s">
        <v>102</v>
      </c>
      <c r="D93" s="115"/>
      <c r="E93" s="24">
        <v>2</v>
      </c>
      <c r="F93" s="24">
        <v>2</v>
      </c>
      <c r="G93" s="24">
        <v>2</v>
      </c>
      <c r="H93" s="24">
        <v>2</v>
      </c>
      <c r="I93" s="24">
        <v>2</v>
      </c>
      <c r="J93" s="24">
        <v>2</v>
      </c>
      <c r="K93" s="24">
        <v>2</v>
      </c>
      <c r="L93" s="24">
        <v>2</v>
      </c>
      <c r="M93" s="24">
        <v>2</v>
      </c>
      <c r="N93" s="24">
        <v>2</v>
      </c>
      <c r="O93" s="24">
        <v>2</v>
      </c>
      <c r="P93" s="24">
        <v>2</v>
      </c>
      <c r="Q93" s="24">
        <v>2</v>
      </c>
      <c r="R93" s="24">
        <v>2</v>
      </c>
      <c r="S93" s="24">
        <v>2</v>
      </c>
      <c r="T93" s="24">
        <v>2</v>
      </c>
      <c r="U93" s="24">
        <v>2</v>
      </c>
      <c r="V93" s="24">
        <v>2</v>
      </c>
      <c r="W93" s="24">
        <v>2</v>
      </c>
      <c r="X93" s="24">
        <v>2</v>
      </c>
      <c r="Y93" s="24">
        <v>2</v>
      </c>
      <c r="Z93" s="24">
        <v>2</v>
      </c>
      <c r="AA93" s="24">
        <v>2</v>
      </c>
      <c r="AB93" s="24">
        <v>2</v>
      </c>
      <c r="AC93" s="25">
        <v>0</v>
      </c>
      <c r="AD93" s="26">
        <v>0</v>
      </c>
      <c r="AE93" s="26">
        <v>0</v>
      </c>
      <c r="AF93" s="26">
        <v>0</v>
      </c>
    </row>
    <row r="94" spans="1:32" ht="16.8" x14ac:dyDescent="0.3">
      <c r="A94" s="130" t="s">
        <v>37</v>
      </c>
      <c r="B94" s="73" t="s">
        <v>77</v>
      </c>
      <c r="C94" s="78" t="s">
        <v>61</v>
      </c>
      <c r="D94" s="42"/>
      <c r="E94" s="24">
        <v>1</v>
      </c>
      <c r="F94" s="82">
        <v>1</v>
      </c>
      <c r="G94" s="34">
        <v>1</v>
      </c>
      <c r="H94" s="34">
        <v>1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34">
        <v>1</v>
      </c>
      <c r="AD94" s="25">
        <v>0</v>
      </c>
      <c r="AE94" s="26">
        <v>0</v>
      </c>
      <c r="AF94" s="26">
        <v>0</v>
      </c>
    </row>
    <row r="95" spans="1:32" ht="16.8" x14ac:dyDescent="0.3">
      <c r="A95" s="130"/>
      <c r="B95" s="73" t="s">
        <v>78</v>
      </c>
      <c r="C95" s="51" t="s">
        <v>46</v>
      </c>
      <c r="D95" s="42"/>
      <c r="E95" s="24">
        <v>2</v>
      </c>
      <c r="F95" s="24">
        <v>2</v>
      </c>
      <c r="G95" s="24">
        <v>2</v>
      </c>
      <c r="H95" s="24">
        <v>2</v>
      </c>
      <c r="I95" s="24">
        <v>2</v>
      </c>
      <c r="J95" s="24">
        <v>2</v>
      </c>
      <c r="K95" s="24">
        <v>2</v>
      </c>
      <c r="L95" s="24">
        <v>2</v>
      </c>
      <c r="M95" s="24">
        <v>2</v>
      </c>
      <c r="N95" s="24">
        <v>2</v>
      </c>
      <c r="O95" s="24">
        <v>2</v>
      </c>
      <c r="P95" s="24">
        <v>2</v>
      </c>
      <c r="Q95" s="24">
        <v>2</v>
      </c>
      <c r="R95" s="24">
        <v>2</v>
      </c>
      <c r="S95" s="24">
        <v>2</v>
      </c>
      <c r="T95" s="24">
        <v>2</v>
      </c>
      <c r="U95" s="24">
        <v>2</v>
      </c>
      <c r="V95" s="24">
        <v>2</v>
      </c>
      <c r="W95" s="24">
        <v>2</v>
      </c>
      <c r="X95" s="24">
        <v>2</v>
      </c>
      <c r="Y95" s="24">
        <v>2</v>
      </c>
      <c r="Z95" s="24">
        <v>2</v>
      </c>
      <c r="AA95" s="24">
        <v>2</v>
      </c>
      <c r="AB95" s="24">
        <v>2</v>
      </c>
      <c r="AC95" s="24">
        <v>2</v>
      </c>
      <c r="AD95" s="25">
        <v>0</v>
      </c>
      <c r="AE95" s="26">
        <v>0</v>
      </c>
      <c r="AF95" s="26">
        <v>0</v>
      </c>
    </row>
    <row r="96" spans="1:32" ht="16.8" x14ac:dyDescent="0.3">
      <c r="A96" s="130"/>
      <c r="B96" s="74" t="s">
        <v>79</v>
      </c>
      <c r="C96" s="51" t="s">
        <v>42</v>
      </c>
      <c r="D96" s="42"/>
      <c r="E96" s="24">
        <v>1</v>
      </c>
      <c r="F96" s="82">
        <v>1</v>
      </c>
      <c r="G96" s="34">
        <v>1</v>
      </c>
      <c r="H96" s="34">
        <v>1</v>
      </c>
      <c r="I96" s="34">
        <v>1</v>
      </c>
      <c r="J96" s="34">
        <v>1</v>
      </c>
      <c r="K96" s="34">
        <v>1</v>
      </c>
      <c r="L96" s="34">
        <v>1</v>
      </c>
      <c r="M96" s="34">
        <v>1</v>
      </c>
      <c r="N96" s="34">
        <v>1</v>
      </c>
      <c r="O96" s="34">
        <v>1</v>
      </c>
      <c r="P96" s="34">
        <v>1</v>
      </c>
      <c r="Q96" s="34">
        <v>1</v>
      </c>
      <c r="R96" s="34">
        <v>1</v>
      </c>
      <c r="S96" s="34">
        <v>1</v>
      </c>
      <c r="T96" s="34">
        <v>1</v>
      </c>
      <c r="U96" s="34">
        <v>1</v>
      </c>
      <c r="V96" s="34">
        <v>1</v>
      </c>
      <c r="W96" s="34">
        <v>1</v>
      </c>
      <c r="X96" s="34">
        <v>1</v>
      </c>
      <c r="Y96" s="31">
        <v>1</v>
      </c>
      <c r="Z96" s="31">
        <v>1</v>
      </c>
      <c r="AA96" s="30">
        <v>1</v>
      </c>
      <c r="AB96" s="26">
        <v>1</v>
      </c>
      <c r="AC96" s="34">
        <v>1</v>
      </c>
      <c r="AD96" s="25">
        <v>0</v>
      </c>
      <c r="AE96" s="26">
        <v>0</v>
      </c>
      <c r="AF96" s="26">
        <v>0</v>
      </c>
    </row>
    <row r="97" spans="1:32" ht="16.8" x14ac:dyDescent="0.3">
      <c r="A97" s="130"/>
      <c r="B97" s="75" t="s">
        <v>80</v>
      </c>
      <c r="C97" s="51" t="s">
        <v>40</v>
      </c>
      <c r="D97" s="42"/>
      <c r="E97" s="24">
        <v>2</v>
      </c>
      <c r="F97" s="24">
        <v>2</v>
      </c>
      <c r="G97" s="24">
        <v>2</v>
      </c>
      <c r="H97" s="24">
        <v>2</v>
      </c>
      <c r="I97" s="24">
        <v>2</v>
      </c>
      <c r="J97" s="24">
        <v>2</v>
      </c>
      <c r="K97" s="24">
        <v>2</v>
      </c>
      <c r="L97" s="24">
        <v>2</v>
      </c>
      <c r="M97" s="24">
        <v>2</v>
      </c>
      <c r="N97" s="24">
        <v>2</v>
      </c>
      <c r="O97" s="24">
        <v>2</v>
      </c>
      <c r="P97" s="24">
        <v>2</v>
      </c>
      <c r="Q97" s="24">
        <v>2</v>
      </c>
      <c r="R97" s="24">
        <v>2</v>
      </c>
      <c r="S97" s="24">
        <v>2</v>
      </c>
      <c r="T97" s="24">
        <v>2</v>
      </c>
      <c r="U97" s="24">
        <v>2</v>
      </c>
      <c r="V97" s="24">
        <v>2</v>
      </c>
      <c r="W97" s="24">
        <v>2</v>
      </c>
      <c r="X97" s="24">
        <v>2</v>
      </c>
      <c r="Y97" s="24">
        <v>2</v>
      </c>
      <c r="Z97" s="24">
        <v>2</v>
      </c>
      <c r="AA97" s="24">
        <v>2</v>
      </c>
      <c r="AB97" s="24">
        <v>2</v>
      </c>
      <c r="AC97" s="24">
        <v>2</v>
      </c>
      <c r="AD97" s="25">
        <v>0</v>
      </c>
      <c r="AE97" s="26">
        <v>0</v>
      </c>
      <c r="AF97" s="26">
        <v>0</v>
      </c>
    </row>
    <row r="98" spans="1:32" ht="16.8" x14ac:dyDescent="0.3">
      <c r="A98" s="130"/>
      <c r="B98" s="74" t="s">
        <v>81</v>
      </c>
      <c r="C98" s="51" t="s">
        <v>46</v>
      </c>
      <c r="D98" s="42"/>
      <c r="E98" s="24">
        <v>1</v>
      </c>
      <c r="F98" s="82">
        <v>1</v>
      </c>
      <c r="G98" s="34">
        <v>1</v>
      </c>
      <c r="H98" s="34">
        <v>1</v>
      </c>
      <c r="I98" s="34">
        <v>1</v>
      </c>
      <c r="J98" s="34">
        <v>1</v>
      </c>
      <c r="K98" s="34">
        <v>1</v>
      </c>
      <c r="L98" s="34">
        <v>1</v>
      </c>
      <c r="M98" s="34">
        <v>1</v>
      </c>
      <c r="N98" s="34">
        <v>1</v>
      </c>
      <c r="O98" s="34">
        <v>1</v>
      </c>
      <c r="P98" s="34">
        <v>1</v>
      </c>
      <c r="Q98" s="34">
        <v>1</v>
      </c>
      <c r="R98" s="34">
        <v>1</v>
      </c>
      <c r="S98" s="34">
        <v>1</v>
      </c>
      <c r="T98" s="34">
        <v>1</v>
      </c>
      <c r="U98" s="34">
        <v>1</v>
      </c>
      <c r="V98" s="34">
        <v>1</v>
      </c>
      <c r="W98" s="34">
        <v>1</v>
      </c>
      <c r="X98" s="34">
        <v>1</v>
      </c>
      <c r="Y98" s="34">
        <v>1</v>
      </c>
      <c r="Z98" s="31">
        <v>1</v>
      </c>
      <c r="AA98" s="31">
        <v>1</v>
      </c>
      <c r="AB98" s="26">
        <v>1</v>
      </c>
      <c r="AC98" s="34">
        <v>1</v>
      </c>
      <c r="AD98" s="25">
        <v>0</v>
      </c>
      <c r="AE98" s="39">
        <v>0</v>
      </c>
      <c r="AF98" s="26">
        <v>0</v>
      </c>
    </row>
    <row r="99" spans="1:32" ht="16.8" x14ac:dyDescent="0.3">
      <c r="A99" s="130"/>
      <c r="B99" s="74" t="s">
        <v>82</v>
      </c>
      <c r="C99" s="51" t="s">
        <v>44</v>
      </c>
      <c r="D99" s="42"/>
      <c r="E99" s="24">
        <v>1</v>
      </c>
      <c r="F99" s="82">
        <v>1</v>
      </c>
      <c r="G99" s="34">
        <v>1</v>
      </c>
      <c r="H99" s="34">
        <v>1</v>
      </c>
      <c r="I99" s="34">
        <v>1</v>
      </c>
      <c r="J99" s="34">
        <v>1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1">
        <v>1</v>
      </c>
      <c r="AA99" s="31">
        <v>1</v>
      </c>
      <c r="AB99" s="26">
        <v>1</v>
      </c>
      <c r="AC99" s="34">
        <v>1</v>
      </c>
      <c r="AD99" s="25">
        <v>0</v>
      </c>
      <c r="AE99" s="26">
        <v>0</v>
      </c>
      <c r="AF99" s="26">
        <v>0</v>
      </c>
    </row>
    <row r="100" spans="1:32" ht="16.8" x14ac:dyDescent="0.3">
      <c r="A100" s="130"/>
      <c r="B100" s="76" t="s">
        <v>83</v>
      </c>
      <c r="C100" s="51" t="s">
        <v>41</v>
      </c>
      <c r="D100" s="42"/>
      <c r="E100" s="24">
        <v>1</v>
      </c>
      <c r="F100" s="82">
        <v>1</v>
      </c>
      <c r="G100" s="34">
        <v>1</v>
      </c>
      <c r="H100" s="34">
        <v>1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1">
        <v>1</v>
      </c>
      <c r="AA100" s="31">
        <v>1</v>
      </c>
      <c r="AB100" s="30">
        <v>1</v>
      </c>
      <c r="AC100" s="30">
        <v>1</v>
      </c>
      <c r="AD100" s="30">
        <v>1</v>
      </c>
      <c r="AE100" s="25">
        <v>0</v>
      </c>
      <c r="AF100" s="26">
        <v>0</v>
      </c>
    </row>
    <row r="101" spans="1:32" ht="16.8" x14ac:dyDescent="0.3">
      <c r="A101" s="130"/>
      <c r="B101" s="76" t="s">
        <v>84</v>
      </c>
      <c r="C101" s="51" t="s">
        <v>42</v>
      </c>
      <c r="D101" s="42"/>
      <c r="E101" s="24">
        <v>1</v>
      </c>
      <c r="F101" s="82">
        <v>1</v>
      </c>
      <c r="G101" s="34">
        <v>1</v>
      </c>
      <c r="H101" s="34">
        <v>1</v>
      </c>
      <c r="I101" s="34">
        <v>1</v>
      </c>
      <c r="J101" s="34">
        <v>1</v>
      </c>
      <c r="K101" s="34">
        <v>1</v>
      </c>
      <c r="L101" s="34">
        <v>1</v>
      </c>
      <c r="M101" s="34">
        <v>1</v>
      </c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1">
        <v>1</v>
      </c>
      <c r="AA101" s="31">
        <v>1</v>
      </c>
      <c r="AB101" s="30">
        <v>1</v>
      </c>
      <c r="AC101" s="26">
        <v>1</v>
      </c>
      <c r="AD101" s="26">
        <v>1</v>
      </c>
      <c r="AE101" s="25">
        <v>0</v>
      </c>
      <c r="AF101" s="26">
        <v>0</v>
      </c>
    </row>
    <row r="102" spans="1:32" ht="33.6" x14ac:dyDescent="0.3">
      <c r="A102" s="130"/>
      <c r="B102" s="76" t="s">
        <v>85</v>
      </c>
      <c r="C102" s="51" t="s">
        <v>40</v>
      </c>
      <c r="D102" s="42"/>
      <c r="E102" s="24">
        <v>1</v>
      </c>
      <c r="F102" s="82">
        <v>1</v>
      </c>
      <c r="G102" s="34">
        <v>1</v>
      </c>
      <c r="H102" s="34">
        <v>1</v>
      </c>
      <c r="I102" s="34">
        <v>1</v>
      </c>
      <c r="J102" s="34">
        <v>1</v>
      </c>
      <c r="K102" s="34">
        <v>1</v>
      </c>
      <c r="L102" s="34">
        <v>1</v>
      </c>
      <c r="M102" s="34">
        <v>1</v>
      </c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1">
        <v>1</v>
      </c>
      <c r="AA102" s="31">
        <v>1</v>
      </c>
      <c r="AB102" s="30">
        <v>1</v>
      </c>
      <c r="AC102" s="26">
        <v>1</v>
      </c>
      <c r="AD102" s="26">
        <v>1</v>
      </c>
      <c r="AE102" s="25">
        <v>0</v>
      </c>
      <c r="AF102" s="26">
        <v>0</v>
      </c>
    </row>
    <row r="103" spans="1:32" ht="16.8" x14ac:dyDescent="0.3">
      <c r="A103" s="130"/>
      <c r="B103" s="76" t="s">
        <v>86</v>
      </c>
      <c r="C103" s="51" t="s">
        <v>42</v>
      </c>
      <c r="D103" s="42"/>
      <c r="E103" s="24">
        <v>2</v>
      </c>
      <c r="F103" s="24">
        <v>2</v>
      </c>
      <c r="G103" s="24">
        <v>2</v>
      </c>
      <c r="H103" s="24">
        <v>2</v>
      </c>
      <c r="I103" s="24">
        <v>2</v>
      </c>
      <c r="J103" s="24">
        <v>2</v>
      </c>
      <c r="K103" s="24">
        <v>2</v>
      </c>
      <c r="L103" s="24">
        <v>2</v>
      </c>
      <c r="M103" s="24">
        <v>2</v>
      </c>
      <c r="N103" s="24">
        <v>2</v>
      </c>
      <c r="O103" s="24">
        <v>2</v>
      </c>
      <c r="P103" s="24">
        <v>2</v>
      </c>
      <c r="Q103" s="24">
        <v>2</v>
      </c>
      <c r="R103" s="24">
        <v>2</v>
      </c>
      <c r="S103" s="24">
        <v>2</v>
      </c>
      <c r="T103" s="24">
        <v>2</v>
      </c>
      <c r="U103" s="24">
        <v>2</v>
      </c>
      <c r="V103" s="24">
        <v>2</v>
      </c>
      <c r="W103" s="24">
        <v>2</v>
      </c>
      <c r="X103" s="24">
        <v>2</v>
      </c>
      <c r="Y103" s="24">
        <v>2</v>
      </c>
      <c r="Z103" s="24">
        <v>2</v>
      </c>
      <c r="AA103" s="24">
        <v>2</v>
      </c>
      <c r="AB103" s="24">
        <v>2</v>
      </c>
      <c r="AC103" s="24">
        <v>2</v>
      </c>
      <c r="AD103" s="24">
        <v>2</v>
      </c>
      <c r="AE103" s="25">
        <v>0</v>
      </c>
      <c r="AF103" s="26">
        <v>0</v>
      </c>
    </row>
    <row r="104" spans="1:32" ht="16.8" x14ac:dyDescent="0.3">
      <c r="A104" s="130"/>
      <c r="B104" s="76" t="s">
        <v>87</v>
      </c>
      <c r="C104" s="51" t="s">
        <v>44</v>
      </c>
      <c r="D104" s="42"/>
      <c r="E104" s="24">
        <v>2</v>
      </c>
      <c r="F104" s="24">
        <v>2</v>
      </c>
      <c r="G104" s="24">
        <v>2</v>
      </c>
      <c r="H104" s="24">
        <v>2</v>
      </c>
      <c r="I104" s="24">
        <v>2</v>
      </c>
      <c r="J104" s="24">
        <v>2</v>
      </c>
      <c r="K104" s="24">
        <v>2</v>
      </c>
      <c r="L104" s="24">
        <v>2</v>
      </c>
      <c r="M104" s="24">
        <v>2</v>
      </c>
      <c r="N104" s="24">
        <v>2</v>
      </c>
      <c r="O104" s="24">
        <v>2</v>
      </c>
      <c r="P104" s="24">
        <v>2</v>
      </c>
      <c r="Q104" s="24">
        <v>2</v>
      </c>
      <c r="R104" s="24">
        <v>2</v>
      </c>
      <c r="S104" s="24">
        <v>2</v>
      </c>
      <c r="T104" s="24">
        <v>2</v>
      </c>
      <c r="U104" s="24">
        <v>2</v>
      </c>
      <c r="V104" s="24">
        <v>2</v>
      </c>
      <c r="W104" s="24">
        <v>2</v>
      </c>
      <c r="X104" s="24">
        <v>2</v>
      </c>
      <c r="Y104" s="24">
        <v>2</v>
      </c>
      <c r="Z104" s="24">
        <v>2</v>
      </c>
      <c r="AA104" s="24">
        <v>2</v>
      </c>
      <c r="AB104" s="24">
        <v>2</v>
      </c>
      <c r="AC104" s="24">
        <v>2</v>
      </c>
      <c r="AD104" s="24">
        <v>2</v>
      </c>
      <c r="AE104" s="25">
        <v>0</v>
      </c>
      <c r="AF104" s="26">
        <v>0</v>
      </c>
    </row>
    <row r="105" spans="1:32" ht="16.8" x14ac:dyDescent="0.3">
      <c r="A105" s="130"/>
      <c r="B105" s="76" t="s">
        <v>88</v>
      </c>
      <c r="C105" s="118" t="s">
        <v>46</v>
      </c>
      <c r="D105" s="42"/>
      <c r="E105" s="24">
        <v>2</v>
      </c>
      <c r="F105" s="24">
        <v>2</v>
      </c>
      <c r="G105" s="24">
        <v>2</v>
      </c>
      <c r="H105" s="24">
        <v>2</v>
      </c>
      <c r="I105" s="24">
        <v>2</v>
      </c>
      <c r="J105" s="24">
        <v>2</v>
      </c>
      <c r="K105" s="24">
        <v>2</v>
      </c>
      <c r="L105" s="24">
        <v>2</v>
      </c>
      <c r="M105" s="24">
        <v>2</v>
      </c>
      <c r="N105" s="24">
        <v>2</v>
      </c>
      <c r="O105" s="24">
        <v>2</v>
      </c>
      <c r="P105" s="24">
        <v>2</v>
      </c>
      <c r="Q105" s="24">
        <v>2</v>
      </c>
      <c r="R105" s="24">
        <v>2</v>
      </c>
      <c r="S105" s="24">
        <v>2</v>
      </c>
      <c r="T105" s="24">
        <v>2</v>
      </c>
      <c r="U105" s="24">
        <v>2</v>
      </c>
      <c r="V105" s="24">
        <v>2</v>
      </c>
      <c r="W105" s="24">
        <v>2</v>
      </c>
      <c r="X105" s="24">
        <v>2</v>
      </c>
      <c r="Y105" s="24">
        <v>2</v>
      </c>
      <c r="Z105" s="24">
        <v>2</v>
      </c>
      <c r="AA105" s="24">
        <v>2</v>
      </c>
      <c r="AB105" s="24">
        <v>2</v>
      </c>
      <c r="AC105" s="24">
        <v>2</v>
      </c>
      <c r="AD105" s="24">
        <v>2</v>
      </c>
      <c r="AE105" s="25">
        <v>0</v>
      </c>
      <c r="AF105" s="26">
        <v>0</v>
      </c>
    </row>
    <row r="106" spans="1:32" ht="16.8" x14ac:dyDescent="0.3">
      <c r="A106" s="130"/>
      <c r="B106" s="76" t="s">
        <v>107</v>
      </c>
      <c r="C106" s="24" t="s">
        <v>44</v>
      </c>
      <c r="D106" s="42"/>
      <c r="E106" s="24">
        <v>1</v>
      </c>
      <c r="F106" s="24">
        <v>1</v>
      </c>
      <c r="G106" s="24">
        <v>1</v>
      </c>
      <c r="H106" s="24">
        <v>1</v>
      </c>
      <c r="I106" s="24">
        <v>1</v>
      </c>
      <c r="J106" s="24">
        <v>1</v>
      </c>
      <c r="K106" s="24">
        <v>1</v>
      </c>
      <c r="L106" s="24">
        <v>1</v>
      </c>
      <c r="M106" s="24">
        <v>1</v>
      </c>
      <c r="N106" s="24">
        <v>1</v>
      </c>
      <c r="O106" s="24">
        <v>1</v>
      </c>
      <c r="P106" s="24">
        <v>1</v>
      </c>
      <c r="Q106" s="24">
        <v>1</v>
      </c>
      <c r="R106" s="24">
        <v>1</v>
      </c>
      <c r="S106" s="24">
        <v>1</v>
      </c>
      <c r="T106" s="24">
        <v>1</v>
      </c>
      <c r="U106" s="24">
        <v>1</v>
      </c>
      <c r="V106" s="24">
        <v>1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B106" s="24">
        <v>1</v>
      </c>
      <c r="AC106" s="24">
        <v>1</v>
      </c>
      <c r="AD106" s="24">
        <v>1</v>
      </c>
      <c r="AE106" s="25">
        <v>0</v>
      </c>
      <c r="AF106" s="26">
        <v>0</v>
      </c>
    </row>
    <row r="107" spans="1:32" ht="16.8" x14ac:dyDescent="0.3">
      <c r="A107" s="130"/>
      <c r="B107" s="76" t="s">
        <v>108</v>
      </c>
      <c r="C107" s="24" t="s">
        <v>41</v>
      </c>
      <c r="E107" s="103">
        <v>1</v>
      </c>
      <c r="F107" s="103">
        <v>1</v>
      </c>
      <c r="G107" s="103">
        <v>1</v>
      </c>
      <c r="H107" s="103">
        <v>1</v>
      </c>
      <c r="I107" s="103">
        <v>1</v>
      </c>
      <c r="J107" s="103">
        <v>1</v>
      </c>
      <c r="K107" s="103">
        <v>1</v>
      </c>
      <c r="L107" s="103">
        <v>1</v>
      </c>
      <c r="M107" s="103">
        <v>1</v>
      </c>
      <c r="N107" s="103">
        <v>1</v>
      </c>
      <c r="O107" s="103">
        <v>1</v>
      </c>
      <c r="P107" s="103">
        <v>1</v>
      </c>
      <c r="Q107" s="103">
        <v>1</v>
      </c>
      <c r="R107" s="103">
        <v>1</v>
      </c>
      <c r="S107" s="103">
        <v>1</v>
      </c>
      <c r="T107" s="103">
        <v>1</v>
      </c>
      <c r="U107" s="103">
        <v>1</v>
      </c>
      <c r="V107" s="103">
        <v>1</v>
      </c>
      <c r="W107" s="103">
        <v>1</v>
      </c>
      <c r="X107" s="103">
        <v>1</v>
      </c>
      <c r="Y107" s="103">
        <v>1</v>
      </c>
      <c r="Z107" s="103">
        <v>1</v>
      </c>
      <c r="AA107" s="103">
        <v>1</v>
      </c>
      <c r="AB107" s="103">
        <v>1</v>
      </c>
      <c r="AC107" s="103">
        <v>1</v>
      </c>
      <c r="AD107" s="103">
        <v>1</v>
      </c>
      <c r="AE107" s="25">
        <v>0</v>
      </c>
      <c r="AF107" s="26">
        <v>0</v>
      </c>
    </row>
    <row r="108" spans="1:32" ht="16.8" x14ac:dyDescent="0.3">
      <c r="A108" s="131" t="s">
        <v>89</v>
      </c>
      <c r="B108" s="131"/>
      <c r="C108" s="44" t="s">
        <v>25</v>
      </c>
      <c r="D108" s="80"/>
      <c r="E108" s="24">
        <v>5</v>
      </c>
      <c r="F108" s="24">
        <v>5</v>
      </c>
      <c r="G108" s="24">
        <v>5</v>
      </c>
      <c r="H108" s="24">
        <v>5</v>
      </c>
      <c r="I108" s="24">
        <v>5</v>
      </c>
      <c r="J108" s="24">
        <v>5</v>
      </c>
      <c r="K108" s="24">
        <v>5</v>
      </c>
      <c r="L108" s="24">
        <v>5</v>
      </c>
      <c r="M108" s="24">
        <v>5</v>
      </c>
      <c r="N108" s="24">
        <v>5</v>
      </c>
      <c r="O108" s="24">
        <v>5</v>
      </c>
      <c r="P108" s="24">
        <v>5</v>
      </c>
      <c r="Q108" s="24">
        <v>5</v>
      </c>
      <c r="R108" s="24">
        <v>5</v>
      </c>
      <c r="S108" s="24">
        <v>5</v>
      </c>
      <c r="T108" s="24">
        <v>5</v>
      </c>
      <c r="U108" s="24">
        <v>5</v>
      </c>
      <c r="V108" s="24">
        <v>5</v>
      </c>
      <c r="W108" s="24">
        <v>5</v>
      </c>
      <c r="X108" s="24">
        <v>5</v>
      </c>
      <c r="Y108" s="24">
        <v>5</v>
      </c>
      <c r="Z108" s="24">
        <v>5</v>
      </c>
      <c r="AA108" s="24">
        <v>5</v>
      </c>
      <c r="AB108" s="24">
        <v>5</v>
      </c>
      <c r="AC108" s="24">
        <v>5</v>
      </c>
      <c r="AD108" s="24">
        <v>5</v>
      </c>
      <c r="AE108" s="30">
        <v>5</v>
      </c>
      <c r="AF108" s="25">
        <v>0</v>
      </c>
    </row>
    <row r="109" spans="1:32" ht="16.8" x14ac:dyDescent="0.3">
      <c r="A109" s="132" t="s">
        <v>90</v>
      </c>
      <c r="B109" s="133"/>
      <c r="C109" s="47" t="s">
        <v>25</v>
      </c>
      <c r="D109" s="81"/>
      <c r="E109" s="24">
        <v>5</v>
      </c>
      <c r="F109" s="24">
        <v>5</v>
      </c>
      <c r="G109" s="24">
        <v>5</v>
      </c>
      <c r="H109" s="24">
        <v>5</v>
      </c>
      <c r="I109" s="24">
        <v>5</v>
      </c>
      <c r="J109" s="24">
        <v>5</v>
      </c>
      <c r="K109" s="24">
        <v>5</v>
      </c>
      <c r="L109" s="24">
        <v>5</v>
      </c>
      <c r="M109" s="24">
        <v>5</v>
      </c>
      <c r="N109" s="24">
        <v>5</v>
      </c>
      <c r="O109" s="24">
        <v>5</v>
      </c>
      <c r="P109" s="24">
        <v>5</v>
      </c>
      <c r="Q109" s="24">
        <v>5</v>
      </c>
      <c r="R109" s="24">
        <v>5</v>
      </c>
      <c r="S109" s="24">
        <v>5</v>
      </c>
      <c r="T109" s="24">
        <v>5</v>
      </c>
      <c r="U109" s="24">
        <v>5</v>
      </c>
      <c r="V109" s="24">
        <v>5</v>
      </c>
      <c r="W109" s="24">
        <v>5</v>
      </c>
      <c r="X109" s="24">
        <v>5</v>
      </c>
      <c r="Y109" s="24">
        <v>5</v>
      </c>
      <c r="Z109" s="24">
        <v>5</v>
      </c>
      <c r="AA109" s="24">
        <v>5</v>
      </c>
      <c r="AB109" s="24">
        <v>5</v>
      </c>
      <c r="AC109" s="24">
        <v>5</v>
      </c>
      <c r="AD109" s="24">
        <v>5</v>
      </c>
      <c r="AE109" s="30">
        <v>5</v>
      </c>
      <c r="AF109" s="25">
        <v>0</v>
      </c>
    </row>
    <row r="110" spans="1:32" ht="16.8" x14ac:dyDescent="0.3">
      <c r="A110" s="126" t="s">
        <v>9</v>
      </c>
      <c r="B110" s="127"/>
      <c r="C110" s="128"/>
      <c r="D110" s="49"/>
      <c r="E110" s="46">
        <f t="shared" ref="E110:AE110" si="2">SUM(E17:E109)</f>
        <v>360</v>
      </c>
      <c r="F110" s="37">
        <f t="shared" si="2"/>
        <v>357</v>
      </c>
      <c r="G110" s="37">
        <f t="shared" si="2"/>
        <v>345</v>
      </c>
      <c r="H110" s="37">
        <f t="shared" si="2"/>
        <v>331</v>
      </c>
      <c r="I110" s="37">
        <f t="shared" si="2"/>
        <v>324</v>
      </c>
      <c r="J110" s="37">
        <f t="shared" si="2"/>
        <v>313</v>
      </c>
      <c r="K110" s="37">
        <f t="shared" si="2"/>
        <v>303</v>
      </c>
      <c r="L110" s="37">
        <f t="shared" si="2"/>
        <v>267</v>
      </c>
      <c r="M110" s="37">
        <f t="shared" si="2"/>
        <v>267</v>
      </c>
      <c r="N110" s="37">
        <f t="shared" si="2"/>
        <v>228</v>
      </c>
      <c r="O110" s="37">
        <f t="shared" si="2"/>
        <v>227</v>
      </c>
      <c r="P110" s="37">
        <f t="shared" si="2"/>
        <v>219</v>
      </c>
      <c r="Q110" s="37">
        <f t="shared" si="2"/>
        <v>199</v>
      </c>
      <c r="R110" s="29">
        <f t="shared" si="2"/>
        <v>184</v>
      </c>
      <c r="S110" s="50">
        <f t="shared" si="2"/>
        <v>164</v>
      </c>
      <c r="T110" s="50">
        <f t="shared" si="2"/>
        <v>144</v>
      </c>
      <c r="U110" s="50">
        <f t="shared" si="2"/>
        <v>139</v>
      </c>
      <c r="V110" s="50">
        <f t="shared" si="2"/>
        <v>121</v>
      </c>
      <c r="W110" s="50">
        <f t="shared" si="2"/>
        <v>99</v>
      </c>
      <c r="X110" s="50">
        <f t="shared" si="2"/>
        <v>87</v>
      </c>
      <c r="Y110" s="50">
        <f t="shared" si="2"/>
        <v>65</v>
      </c>
      <c r="Z110" s="50">
        <f t="shared" si="2"/>
        <v>59</v>
      </c>
      <c r="AA110" s="50">
        <f t="shared" si="2"/>
        <v>51</v>
      </c>
      <c r="AB110" s="50">
        <f t="shared" si="2"/>
        <v>44</v>
      </c>
      <c r="AC110" s="50">
        <f t="shared" si="2"/>
        <v>29</v>
      </c>
      <c r="AD110" s="50">
        <f t="shared" si="2"/>
        <v>21</v>
      </c>
      <c r="AE110" s="50">
        <f t="shared" si="2"/>
        <v>10</v>
      </c>
      <c r="AF110" s="26">
        <v>0</v>
      </c>
    </row>
    <row r="113" spans="1:32" ht="52.2" x14ac:dyDescent="0.3">
      <c r="A113" s="18" t="s">
        <v>21</v>
      </c>
      <c r="B113" s="19" t="s">
        <v>22</v>
      </c>
      <c r="C113" s="20" t="s">
        <v>23</v>
      </c>
      <c r="D113" s="20" t="s">
        <v>8</v>
      </c>
      <c r="E113" s="20" t="s">
        <v>9</v>
      </c>
      <c r="F113" s="21">
        <v>46128</v>
      </c>
      <c r="G113" s="21">
        <f t="shared" ref="G113" si="3">F113+1</f>
        <v>46129</v>
      </c>
      <c r="H113" s="21">
        <f t="shared" ref="H113" si="4">G113+1</f>
        <v>46130</v>
      </c>
      <c r="I113" s="21">
        <f t="shared" ref="I113" si="5">H113+1</f>
        <v>46131</v>
      </c>
      <c r="J113" s="21">
        <f t="shared" ref="J113" si="6">I113+1</f>
        <v>46132</v>
      </c>
      <c r="K113" s="21">
        <f t="shared" ref="K113" si="7">J113+1</f>
        <v>46133</v>
      </c>
      <c r="L113" s="21">
        <f t="shared" ref="L113" si="8">K113+1</f>
        <v>46134</v>
      </c>
      <c r="M113" s="21">
        <f t="shared" ref="M113" si="9">L113+1</f>
        <v>46135</v>
      </c>
      <c r="N113" s="21">
        <f t="shared" ref="N113" si="10">M113+1</f>
        <v>46136</v>
      </c>
      <c r="O113" s="21">
        <f>N113+1</f>
        <v>46137</v>
      </c>
      <c r="P113" s="21">
        <f t="shared" ref="P113" si="11">O113+1</f>
        <v>46138</v>
      </c>
      <c r="Q113" s="21">
        <f t="shared" ref="Q113" si="12">P113+1</f>
        <v>46139</v>
      </c>
      <c r="R113" s="21">
        <f t="shared" ref="R113" si="13">Q113+1</f>
        <v>46140</v>
      </c>
      <c r="S113" s="21">
        <f t="shared" ref="S113" si="14">R113+1</f>
        <v>46141</v>
      </c>
      <c r="T113" s="21">
        <f>S113+1</f>
        <v>46142</v>
      </c>
      <c r="U113" s="21">
        <f t="shared" ref="U113" si="15">T113+1</f>
        <v>46143</v>
      </c>
      <c r="V113" s="21">
        <f t="shared" ref="V113" si="16">U113+1</f>
        <v>46144</v>
      </c>
      <c r="W113" s="21">
        <f>V113+1</f>
        <v>46145</v>
      </c>
      <c r="X113" s="21">
        <f t="shared" ref="X113" si="17">W113+1</f>
        <v>46146</v>
      </c>
      <c r="Y113" s="21">
        <f t="shared" ref="Y113" si="18">X113+1</f>
        <v>46147</v>
      </c>
      <c r="Z113" s="21">
        <f t="shared" ref="Z113" si="19">Y113+1</f>
        <v>46148</v>
      </c>
      <c r="AA113" s="21">
        <f t="shared" ref="AA113" si="20">Z113+1</f>
        <v>46149</v>
      </c>
      <c r="AB113" s="21">
        <f t="shared" ref="AB113" si="21">AA113+1</f>
        <v>46150</v>
      </c>
      <c r="AC113" s="21">
        <f t="shared" ref="AC113" si="22">AB113+1</f>
        <v>46151</v>
      </c>
      <c r="AD113" s="21">
        <f t="shared" ref="AD113" si="23">AC113+1</f>
        <v>46152</v>
      </c>
      <c r="AE113" s="21">
        <f t="shared" ref="AE113" si="24">AD113+1</f>
        <v>46153</v>
      </c>
      <c r="AF113" s="21">
        <f t="shared" ref="AF113" si="25">AE113+1</f>
        <v>46154</v>
      </c>
    </row>
    <row r="114" spans="1:32" ht="16.8" x14ac:dyDescent="0.3">
      <c r="A114" s="134" t="s">
        <v>75</v>
      </c>
      <c r="B114" s="135"/>
      <c r="C114" s="22" t="s">
        <v>25</v>
      </c>
      <c r="D114" s="23">
        <v>8</v>
      </c>
      <c r="E114" s="24"/>
      <c r="F114" s="24">
        <v>8</v>
      </c>
      <c r="G114" s="25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</row>
    <row r="115" spans="1:32" ht="16.8" x14ac:dyDescent="0.3">
      <c r="A115" s="134" t="s">
        <v>26</v>
      </c>
      <c r="B115" s="135"/>
      <c r="C115" s="27" t="s">
        <v>40</v>
      </c>
      <c r="D115" s="28">
        <v>2</v>
      </c>
      <c r="E115" s="24"/>
      <c r="F115" s="24">
        <v>2</v>
      </c>
      <c r="G115" s="25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</row>
    <row r="116" spans="1:32" ht="16.8" x14ac:dyDescent="0.3">
      <c r="A116" s="134" t="s">
        <v>76</v>
      </c>
      <c r="B116" s="135"/>
      <c r="C116" s="22" t="s">
        <v>25</v>
      </c>
      <c r="D116" s="29">
        <v>2</v>
      </c>
      <c r="E116" s="24"/>
      <c r="F116" s="24">
        <v>2</v>
      </c>
      <c r="G116" s="25">
        <v>0</v>
      </c>
      <c r="H116" s="30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</row>
    <row r="117" spans="1:32" ht="16.8" x14ac:dyDescent="0.3">
      <c r="A117" s="136" t="s">
        <v>28</v>
      </c>
      <c r="B117" s="157"/>
      <c r="C117" s="27" t="s">
        <v>25</v>
      </c>
      <c r="D117" s="29">
        <v>12</v>
      </c>
      <c r="E117" s="24"/>
      <c r="F117" s="24">
        <v>10</v>
      </c>
      <c r="G117" s="83">
        <v>12</v>
      </c>
      <c r="H117" s="32">
        <v>0</v>
      </c>
      <c r="I117" s="54">
        <v>0</v>
      </c>
      <c r="J117" s="26">
        <v>0</v>
      </c>
      <c r="K117" s="30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  <c r="AF117" s="26">
        <v>0</v>
      </c>
    </row>
    <row r="118" spans="1:32" ht="16.8" x14ac:dyDescent="0.3">
      <c r="A118" s="158" t="s">
        <v>29</v>
      </c>
      <c r="B118" s="73" t="s">
        <v>77</v>
      </c>
      <c r="C118" s="24" t="s">
        <v>41</v>
      </c>
      <c r="D118" s="87">
        <v>1</v>
      </c>
      <c r="E118" s="77"/>
      <c r="F118" s="88">
        <v>1</v>
      </c>
      <c r="G118" s="34">
        <v>1</v>
      </c>
      <c r="H118" s="25">
        <v>0</v>
      </c>
      <c r="I118" s="30">
        <v>0</v>
      </c>
      <c r="J118" s="54">
        <v>0</v>
      </c>
      <c r="K118" s="34">
        <v>0</v>
      </c>
      <c r="L118" s="31">
        <v>0</v>
      </c>
      <c r="M118" s="30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</row>
    <row r="119" spans="1:32" ht="16.8" x14ac:dyDescent="0.3">
      <c r="A119" s="159"/>
      <c r="B119" s="73" t="s">
        <v>78</v>
      </c>
      <c r="C119" s="24" t="s">
        <v>46</v>
      </c>
      <c r="D119" s="53">
        <v>1</v>
      </c>
      <c r="E119" s="91"/>
      <c r="F119" s="34">
        <v>1</v>
      </c>
      <c r="G119" s="34">
        <v>1</v>
      </c>
      <c r="H119" s="25">
        <v>0</v>
      </c>
      <c r="I119" s="26">
        <v>0</v>
      </c>
      <c r="J119" s="34">
        <v>0</v>
      </c>
      <c r="K119" s="34">
        <v>0</v>
      </c>
      <c r="L119" s="31">
        <v>0</v>
      </c>
      <c r="M119" s="30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</row>
    <row r="120" spans="1:32" ht="16.8" x14ac:dyDescent="0.3">
      <c r="A120" s="159"/>
      <c r="B120" s="74" t="s">
        <v>79</v>
      </c>
      <c r="C120" s="24" t="s">
        <v>42</v>
      </c>
      <c r="D120" s="89">
        <v>1</v>
      </c>
      <c r="E120" s="78"/>
      <c r="F120" s="90">
        <v>1</v>
      </c>
      <c r="G120" s="34">
        <v>1</v>
      </c>
      <c r="H120" s="25">
        <v>0</v>
      </c>
      <c r="I120" s="26">
        <v>0</v>
      </c>
      <c r="J120" s="34">
        <v>0</v>
      </c>
      <c r="K120" s="34">
        <v>0</v>
      </c>
      <c r="L120" s="31">
        <v>0</v>
      </c>
      <c r="M120" s="30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</row>
    <row r="121" spans="1:32" ht="16.8" x14ac:dyDescent="0.3">
      <c r="A121" s="159"/>
      <c r="B121" s="75" t="s">
        <v>80</v>
      </c>
      <c r="C121" s="24" t="s">
        <v>92</v>
      </c>
      <c r="D121" s="36">
        <v>1</v>
      </c>
      <c r="E121" s="24"/>
      <c r="F121" s="24">
        <v>1</v>
      </c>
      <c r="G121" s="24">
        <v>1</v>
      </c>
      <c r="H121" s="25">
        <v>0</v>
      </c>
      <c r="J121" s="34">
        <v>0</v>
      </c>
      <c r="K121" s="34">
        <v>0</v>
      </c>
      <c r="L121" s="31">
        <v>0</v>
      </c>
      <c r="M121" s="30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</row>
    <row r="122" spans="1:32" ht="16.8" x14ac:dyDescent="0.3">
      <c r="A122" s="159"/>
      <c r="B122" s="74" t="s">
        <v>81</v>
      </c>
      <c r="C122" s="24" t="s">
        <v>40</v>
      </c>
      <c r="D122" s="36">
        <v>2</v>
      </c>
      <c r="E122" s="24"/>
      <c r="F122" s="24">
        <v>2</v>
      </c>
      <c r="G122" s="24">
        <v>2</v>
      </c>
      <c r="H122" s="24">
        <v>2</v>
      </c>
      <c r="I122" s="25">
        <v>0</v>
      </c>
      <c r="J122" s="34">
        <v>0</v>
      </c>
      <c r="K122" s="34">
        <v>0</v>
      </c>
      <c r="L122" s="31">
        <v>0</v>
      </c>
      <c r="M122" s="30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  <c r="AF122" s="26">
        <v>0</v>
      </c>
    </row>
    <row r="123" spans="1:32" ht="16.8" x14ac:dyDescent="0.3">
      <c r="A123" s="159"/>
      <c r="B123" s="74" t="s">
        <v>82</v>
      </c>
      <c r="C123" s="24" t="s">
        <v>41</v>
      </c>
      <c r="D123" s="36">
        <v>4</v>
      </c>
      <c r="E123" s="24"/>
      <c r="F123" s="24">
        <v>2</v>
      </c>
      <c r="G123" s="24">
        <v>2</v>
      </c>
      <c r="H123" s="83">
        <v>4</v>
      </c>
      <c r="I123" s="25">
        <v>0</v>
      </c>
      <c r="J123" s="55">
        <v>0</v>
      </c>
      <c r="K123" s="34">
        <v>0</v>
      </c>
      <c r="L123" s="31">
        <v>0</v>
      </c>
      <c r="M123" s="30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</row>
    <row r="124" spans="1:32" ht="16.8" x14ac:dyDescent="0.3">
      <c r="A124" s="159"/>
      <c r="B124" s="76" t="s">
        <v>83</v>
      </c>
      <c r="C124" s="24" t="s">
        <v>44</v>
      </c>
      <c r="D124" s="36">
        <v>1</v>
      </c>
      <c r="E124" s="24"/>
      <c r="F124" s="82">
        <v>1</v>
      </c>
      <c r="G124" s="34">
        <v>1</v>
      </c>
      <c r="H124" s="34">
        <v>1</v>
      </c>
      <c r="I124" s="25">
        <v>0</v>
      </c>
      <c r="J124" s="30">
        <v>0</v>
      </c>
      <c r="K124" s="34">
        <v>0</v>
      </c>
      <c r="L124" s="31">
        <v>0</v>
      </c>
      <c r="M124" s="31">
        <v>0</v>
      </c>
      <c r="N124" s="30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</row>
    <row r="125" spans="1:32" ht="16.8" x14ac:dyDescent="0.3">
      <c r="A125" s="159"/>
      <c r="B125" s="76" t="s">
        <v>84</v>
      </c>
      <c r="C125" s="24" t="s">
        <v>66</v>
      </c>
      <c r="D125" s="36">
        <v>4</v>
      </c>
      <c r="E125" s="24"/>
      <c r="F125" s="82">
        <v>2</v>
      </c>
      <c r="G125" s="34">
        <v>2</v>
      </c>
      <c r="H125" s="83">
        <v>4</v>
      </c>
      <c r="I125" s="25">
        <v>0</v>
      </c>
      <c r="J125" s="34">
        <v>0</v>
      </c>
      <c r="K125" s="34">
        <v>0</v>
      </c>
      <c r="L125" s="31">
        <v>0</v>
      </c>
      <c r="M125" s="31">
        <v>0</v>
      </c>
      <c r="N125" s="30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</row>
    <row r="126" spans="1:32" ht="33.6" x14ac:dyDescent="0.3">
      <c r="A126" s="159"/>
      <c r="B126" s="76" t="s">
        <v>85</v>
      </c>
      <c r="C126" s="24" t="s">
        <v>93</v>
      </c>
      <c r="D126" s="36">
        <v>2</v>
      </c>
      <c r="E126" s="24"/>
      <c r="F126" s="24">
        <v>2</v>
      </c>
      <c r="G126" s="24">
        <v>2</v>
      </c>
      <c r="H126" s="24">
        <v>2</v>
      </c>
      <c r="I126" s="24">
        <v>2</v>
      </c>
      <c r="J126" s="25">
        <v>0</v>
      </c>
      <c r="K126" s="34">
        <v>0</v>
      </c>
      <c r="L126" s="31">
        <v>0</v>
      </c>
      <c r="M126" s="31">
        <v>0</v>
      </c>
      <c r="N126" s="30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</row>
    <row r="127" spans="1:32" ht="16.8" x14ac:dyDescent="0.3">
      <c r="A127" s="159"/>
      <c r="B127" s="76" t="s">
        <v>86</v>
      </c>
      <c r="C127" s="24" t="s">
        <v>42</v>
      </c>
      <c r="D127" s="36">
        <v>2</v>
      </c>
      <c r="E127" s="24"/>
      <c r="F127" s="82">
        <v>2</v>
      </c>
      <c r="G127" s="34">
        <v>2</v>
      </c>
      <c r="H127" s="34">
        <v>2</v>
      </c>
      <c r="I127" s="34">
        <v>2</v>
      </c>
      <c r="J127" s="25">
        <v>0</v>
      </c>
      <c r="K127" s="34">
        <v>0</v>
      </c>
      <c r="L127" s="31">
        <v>0</v>
      </c>
      <c r="M127" s="31">
        <v>0</v>
      </c>
      <c r="N127" s="30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</row>
    <row r="128" spans="1:32" ht="16.8" x14ac:dyDescent="0.3">
      <c r="A128" s="159"/>
      <c r="B128" s="76" t="s">
        <v>87</v>
      </c>
      <c r="C128" s="24" t="s">
        <v>46</v>
      </c>
      <c r="D128" s="36">
        <v>2</v>
      </c>
      <c r="E128" s="24"/>
      <c r="F128" s="82">
        <v>2</v>
      </c>
      <c r="G128" s="34">
        <v>2</v>
      </c>
      <c r="H128" s="34">
        <v>2</v>
      </c>
      <c r="I128" s="34">
        <v>2</v>
      </c>
      <c r="J128" s="25">
        <v>0</v>
      </c>
      <c r="K128" s="55">
        <v>0</v>
      </c>
      <c r="L128" s="31">
        <v>0</v>
      </c>
      <c r="M128" s="31">
        <v>0</v>
      </c>
      <c r="N128" s="30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</row>
    <row r="129" spans="1:40" ht="16.8" x14ac:dyDescent="0.3">
      <c r="A129" s="159"/>
      <c r="B129" s="76" t="s">
        <v>88</v>
      </c>
      <c r="C129" s="24" t="s">
        <v>41</v>
      </c>
      <c r="D129" s="36">
        <v>1</v>
      </c>
      <c r="E129" s="24"/>
      <c r="F129" s="24">
        <v>1</v>
      </c>
      <c r="G129" s="24">
        <v>1</v>
      </c>
      <c r="H129" s="24">
        <v>1</v>
      </c>
      <c r="I129" s="24">
        <v>1</v>
      </c>
      <c r="J129" s="25">
        <v>0</v>
      </c>
      <c r="K129" s="34">
        <v>0</v>
      </c>
      <c r="L129" s="31">
        <v>0</v>
      </c>
      <c r="M129" s="31">
        <v>0</v>
      </c>
      <c r="N129" s="30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</row>
    <row r="130" spans="1:40" s="114" customFormat="1" ht="16.8" x14ac:dyDescent="0.3">
      <c r="A130" s="159"/>
      <c r="B130" s="76" t="s">
        <v>107</v>
      </c>
      <c r="C130" s="24" t="s">
        <v>41</v>
      </c>
      <c r="D130" s="24">
        <v>1</v>
      </c>
      <c r="F130" s="24">
        <v>2</v>
      </c>
      <c r="G130" s="24">
        <v>2</v>
      </c>
      <c r="H130" s="24">
        <v>2</v>
      </c>
      <c r="I130" s="119">
        <v>1</v>
      </c>
      <c r="J130" s="105">
        <v>0</v>
      </c>
      <c r="K130" s="57">
        <v>0</v>
      </c>
      <c r="L130" s="106">
        <v>0</v>
      </c>
      <c r="M130" s="106">
        <v>0</v>
      </c>
      <c r="N130" s="107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8">
        <v>0</v>
      </c>
      <c r="X130" s="38">
        <v>0</v>
      </c>
      <c r="Y130" s="38">
        <v>0</v>
      </c>
      <c r="Z130" s="38">
        <v>0</v>
      </c>
      <c r="AA130" s="38">
        <v>0</v>
      </c>
      <c r="AB130" s="38">
        <v>0</v>
      </c>
      <c r="AC130" s="38">
        <v>0</v>
      </c>
      <c r="AD130" s="38">
        <v>0</v>
      </c>
      <c r="AE130" s="38">
        <v>0</v>
      </c>
      <c r="AF130" s="38">
        <v>0</v>
      </c>
      <c r="AG130"/>
      <c r="AH130"/>
      <c r="AI130"/>
      <c r="AJ130"/>
      <c r="AK130"/>
      <c r="AL130"/>
      <c r="AM130"/>
      <c r="AN130" s="115"/>
    </row>
    <row r="131" spans="1:40" s="114" customFormat="1" ht="16.8" x14ac:dyDescent="0.3">
      <c r="A131" s="159"/>
      <c r="B131" s="76" t="s">
        <v>108</v>
      </c>
      <c r="C131" s="24" t="s">
        <v>46</v>
      </c>
      <c r="D131" s="24">
        <v>1</v>
      </c>
      <c r="F131" s="24">
        <v>2</v>
      </c>
      <c r="G131" s="24">
        <v>2</v>
      </c>
      <c r="H131" s="24">
        <v>2</v>
      </c>
      <c r="I131" s="119">
        <v>1</v>
      </c>
      <c r="J131" s="105">
        <v>0</v>
      </c>
      <c r="K131" s="57">
        <v>0</v>
      </c>
      <c r="L131" s="106">
        <v>0</v>
      </c>
      <c r="M131" s="106">
        <v>0</v>
      </c>
      <c r="N131" s="107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0</v>
      </c>
      <c r="Z131" s="38">
        <v>0</v>
      </c>
      <c r="AA131" s="38">
        <v>0</v>
      </c>
      <c r="AB131" s="38">
        <v>0</v>
      </c>
      <c r="AC131" s="38">
        <v>0</v>
      </c>
      <c r="AD131" s="38">
        <v>0</v>
      </c>
      <c r="AE131" s="38">
        <v>0</v>
      </c>
      <c r="AF131" s="38">
        <v>0</v>
      </c>
      <c r="AG131"/>
      <c r="AH131"/>
      <c r="AI131"/>
      <c r="AJ131"/>
      <c r="AK131"/>
      <c r="AL131"/>
      <c r="AM131"/>
      <c r="AN131" s="115"/>
    </row>
    <row r="132" spans="1:40" ht="16.8" x14ac:dyDescent="0.3">
      <c r="A132" s="160"/>
      <c r="B132" s="72" t="s">
        <v>32</v>
      </c>
      <c r="C132" s="79" t="s">
        <v>25</v>
      </c>
      <c r="D132" s="36">
        <v>7</v>
      </c>
      <c r="E132" s="24"/>
      <c r="F132" s="82">
        <v>10</v>
      </c>
      <c r="G132" s="34">
        <v>10</v>
      </c>
      <c r="H132" s="34">
        <v>10</v>
      </c>
      <c r="I132" s="34">
        <v>10</v>
      </c>
      <c r="J132" s="84">
        <v>7</v>
      </c>
      <c r="K132" s="25">
        <v>0</v>
      </c>
      <c r="L132" s="34">
        <v>0</v>
      </c>
      <c r="M132" s="31">
        <v>0</v>
      </c>
      <c r="N132" s="31">
        <v>0</v>
      </c>
      <c r="O132" s="30">
        <v>0</v>
      </c>
      <c r="P132" s="26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</row>
    <row r="133" spans="1:40" ht="16.8" x14ac:dyDescent="0.3">
      <c r="A133" s="141" t="s">
        <v>33</v>
      </c>
      <c r="B133" s="73" t="s">
        <v>77</v>
      </c>
      <c r="C133" s="24" t="s">
        <v>61</v>
      </c>
      <c r="D133" s="35">
        <v>1</v>
      </c>
      <c r="E133" s="24"/>
      <c r="F133" s="82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25">
        <v>0</v>
      </c>
      <c r="M133" s="56">
        <v>0</v>
      </c>
      <c r="N133" s="34">
        <v>0</v>
      </c>
      <c r="O133" s="31">
        <v>0</v>
      </c>
      <c r="P133" s="31">
        <v>0</v>
      </c>
      <c r="Q133" s="30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</row>
    <row r="134" spans="1:40" ht="16.8" x14ac:dyDescent="0.3">
      <c r="A134" s="142"/>
      <c r="B134" s="73" t="s">
        <v>78</v>
      </c>
      <c r="C134" s="24" t="s">
        <v>46</v>
      </c>
      <c r="D134" s="40">
        <v>3</v>
      </c>
      <c r="E134" s="24"/>
      <c r="F134" s="82">
        <v>1</v>
      </c>
      <c r="G134" s="34">
        <v>1</v>
      </c>
      <c r="H134" s="34">
        <v>1</v>
      </c>
      <c r="I134" s="34">
        <v>1</v>
      </c>
      <c r="J134" s="34">
        <v>1</v>
      </c>
      <c r="K134" s="83">
        <v>3</v>
      </c>
      <c r="L134" s="25">
        <v>0</v>
      </c>
      <c r="M134" s="34">
        <v>0</v>
      </c>
      <c r="N134" s="34">
        <v>0</v>
      </c>
      <c r="O134" s="34">
        <v>0</v>
      </c>
      <c r="P134" s="31">
        <v>0</v>
      </c>
      <c r="Q134" s="30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</row>
    <row r="135" spans="1:40" ht="16.8" x14ac:dyDescent="0.3">
      <c r="A135" s="142"/>
      <c r="B135" s="74" t="s">
        <v>79</v>
      </c>
      <c r="C135" s="24" t="s">
        <v>42</v>
      </c>
      <c r="D135" s="40">
        <v>3</v>
      </c>
      <c r="E135" s="24"/>
      <c r="F135" s="82">
        <v>1</v>
      </c>
      <c r="G135" s="34">
        <v>1</v>
      </c>
      <c r="H135" s="34">
        <v>1</v>
      </c>
      <c r="I135" s="34">
        <v>1</v>
      </c>
      <c r="J135" s="34">
        <v>1</v>
      </c>
      <c r="K135" s="83">
        <v>3</v>
      </c>
      <c r="L135" s="25">
        <v>0</v>
      </c>
      <c r="M135" s="34">
        <v>0</v>
      </c>
      <c r="N135" s="34">
        <v>0</v>
      </c>
      <c r="O135" s="34">
        <v>0</v>
      </c>
      <c r="P135" s="31">
        <v>0</v>
      </c>
      <c r="Q135" s="30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</row>
    <row r="136" spans="1:40" ht="16.8" x14ac:dyDescent="0.3">
      <c r="A136" s="142"/>
      <c r="B136" s="75" t="s">
        <v>80</v>
      </c>
      <c r="C136" s="24" t="s">
        <v>40</v>
      </c>
      <c r="D136" s="40">
        <v>3</v>
      </c>
      <c r="E136" s="24"/>
      <c r="F136" s="82">
        <v>1</v>
      </c>
      <c r="G136" s="34">
        <v>1</v>
      </c>
      <c r="H136" s="34">
        <v>1</v>
      </c>
      <c r="I136" s="34">
        <v>1</v>
      </c>
      <c r="J136" s="34">
        <v>1</v>
      </c>
      <c r="K136" s="83">
        <v>3</v>
      </c>
      <c r="L136" s="25">
        <v>0</v>
      </c>
      <c r="M136" s="56">
        <v>0</v>
      </c>
      <c r="N136" s="34">
        <v>0</v>
      </c>
      <c r="O136" s="34">
        <v>0</v>
      </c>
      <c r="P136" s="31">
        <v>0</v>
      </c>
      <c r="Q136" s="30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  <c r="AF136" s="26">
        <v>0</v>
      </c>
    </row>
    <row r="137" spans="1:40" ht="16.8" x14ac:dyDescent="0.3">
      <c r="A137" s="142"/>
      <c r="B137" s="74" t="s">
        <v>81</v>
      </c>
      <c r="C137" s="24" t="s">
        <v>46</v>
      </c>
      <c r="D137" s="40">
        <v>1</v>
      </c>
      <c r="E137" s="24"/>
      <c r="F137" s="82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25">
        <v>0</v>
      </c>
      <c r="M137" s="34">
        <v>0</v>
      </c>
      <c r="N137" s="34">
        <v>0</v>
      </c>
      <c r="O137" s="34">
        <v>0</v>
      </c>
      <c r="P137" s="31">
        <v>0</v>
      </c>
      <c r="Q137" s="30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</row>
    <row r="138" spans="1:40" ht="16.8" x14ac:dyDescent="0.3">
      <c r="A138" s="142"/>
      <c r="B138" s="74" t="s">
        <v>82</v>
      </c>
      <c r="C138" s="24" t="s">
        <v>44</v>
      </c>
      <c r="D138" s="40">
        <v>1</v>
      </c>
      <c r="E138" s="24"/>
      <c r="F138" s="24">
        <v>1</v>
      </c>
      <c r="G138" s="24">
        <v>1</v>
      </c>
      <c r="H138" s="24">
        <v>1</v>
      </c>
      <c r="I138" s="24">
        <v>1</v>
      </c>
      <c r="J138" s="24">
        <v>1</v>
      </c>
      <c r="K138" s="24">
        <v>1</v>
      </c>
      <c r="L138" s="25">
        <v>0</v>
      </c>
      <c r="M138" s="34">
        <v>0</v>
      </c>
      <c r="N138" s="34">
        <v>0</v>
      </c>
      <c r="O138" s="34">
        <v>0</v>
      </c>
      <c r="P138" s="31">
        <v>0</v>
      </c>
      <c r="Q138" s="31">
        <v>0</v>
      </c>
      <c r="R138" s="30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</row>
    <row r="139" spans="1:40" ht="16.8" x14ac:dyDescent="0.3">
      <c r="A139" s="142"/>
      <c r="B139" s="76" t="s">
        <v>83</v>
      </c>
      <c r="C139" s="24" t="s">
        <v>41</v>
      </c>
      <c r="D139" s="40">
        <v>1</v>
      </c>
      <c r="E139" s="24"/>
      <c r="F139" s="24">
        <v>1</v>
      </c>
      <c r="G139" s="24">
        <v>1</v>
      </c>
      <c r="H139" s="24">
        <v>1</v>
      </c>
      <c r="I139" s="24">
        <v>1</v>
      </c>
      <c r="J139" s="24">
        <v>1</v>
      </c>
      <c r="K139" s="24">
        <v>1</v>
      </c>
      <c r="L139" s="25">
        <v>0</v>
      </c>
      <c r="M139" s="55">
        <v>0</v>
      </c>
      <c r="N139" s="34">
        <v>0</v>
      </c>
      <c r="O139" s="34">
        <v>0</v>
      </c>
      <c r="P139" s="31">
        <v>0</v>
      </c>
      <c r="Q139" s="31">
        <v>0</v>
      </c>
      <c r="R139" s="30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</row>
    <row r="140" spans="1:40" ht="16.8" x14ac:dyDescent="0.3">
      <c r="A140" s="142"/>
      <c r="B140" s="76" t="s">
        <v>84</v>
      </c>
      <c r="C140" s="24" t="s">
        <v>42</v>
      </c>
      <c r="D140" s="40">
        <v>2</v>
      </c>
      <c r="E140" s="24"/>
      <c r="F140" s="24">
        <v>1</v>
      </c>
      <c r="G140" s="24">
        <v>1</v>
      </c>
      <c r="H140" s="24">
        <v>1</v>
      </c>
      <c r="I140" s="24">
        <v>1</v>
      </c>
      <c r="J140" s="24">
        <v>1</v>
      </c>
      <c r="K140" s="83">
        <v>2</v>
      </c>
      <c r="L140" s="25">
        <v>0</v>
      </c>
      <c r="M140" s="34">
        <v>0</v>
      </c>
      <c r="N140" s="34">
        <v>0</v>
      </c>
      <c r="O140" s="34">
        <v>0</v>
      </c>
      <c r="P140" s="31">
        <v>0</v>
      </c>
      <c r="Q140" s="31">
        <v>0</v>
      </c>
      <c r="R140" s="30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</row>
    <row r="141" spans="1:40" ht="33.6" x14ac:dyDescent="0.3">
      <c r="A141" s="142"/>
      <c r="B141" s="76" t="s">
        <v>85</v>
      </c>
      <c r="C141" s="24" t="s">
        <v>40</v>
      </c>
      <c r="D141" s="40">
        <v>1</v>
      </c>
      <c r="E141" s="24"/>
      <c r="F141" s="24">
        <v>1</v>
      </c>
      <c r="G141" s="24">
        <v>1</v>
      </c>
      <c r="H141" s="24">
        <v>1</v>
      </c>
      <c r="I141" s="24">
        <v>1</v>
      </c>
      <c r="J141" s="24">
        <v>1</v>
      </c>
      <c r="K141" s="24">
        <v>1</v>
      </c>
      <c r="L141" s="25">
        <v>0</v>
      </c>
      <c r="M141" s="34">
        <v>0</v>
      </c>
      <c r="N141" s="34">
        <v>0</v>
      </c>
      <c r="O141" s="34">
        <v>0</v>
      </c>
      <c r="P141" s="31">
        <v>0</v>
      </c>
      <c r="Q141" s="31">
        <v>0</v>
      </c>
      <c r="R141" s="30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</row>
    <row r="142" spans="1:40" ht="16.8" x14ac:dyDescent="0.3">
      <c r="A142" s="142"/>
      <c r="B142" s="76" t="s">
        <v>86</v>
      </c>
      <c r="C142" s="24" t="s">
        <v>42</v>
      </c>
      <c r="D142" s="40">
        <v>1</v>
      </c>
      <c r="E142" s="24"/>
      <c r="F142" s="24">
        <v>1</v>
      </c>
      <c r="G142" s="24">
        <v>1</v>
      </c>
      <c r="H142" s="24">
        <v>1</v>
      </c>
      <c r="I142" s="24">
        <v>1</v>
      </c>
      <c r="J142" s="24">
        <v>1</v>
      </c>
      <c r="K142" s="24">
        <v>1</v>
      </c>
      <c r="L142" s="25">
        <v>0</v>
      </c>
      <c r="M142" s="30">
        <v>0</v>
      </c>
      <c r="N142" s="34">
        <v>0</v>
      </c>
      <c r="O142" s="34">
        <v>0</v>
      </c>
      <c r="P142" s="31">
        <v>0</v>
      </c>
      <c r="Q142" s="31">
        <v>0</v>
      </c>
      <c r="R142" s="30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</row>
    <row r="143" spans="1:40" ht="16.8" x14ac:dyDescent="0.3">
      <c r="A143" s="142"/>
      <c r="B143" s="76" t="s">
        <v>87</v>
      </c>
      <c r="C143" s="24" t="s">
        <v>44</v>
      </c>
      <c r="D143" s="40">
        <v>2</v>
      </c>
      <c r="E143" s="24"/>
      <c r="F143" s="24">
        <v>1</v>
      </c>
      <c r="G143" s="24">
        <v>1</v>
      </c>
      <c r="H143" s="24">
        <v>1</v>
      </c>
      <c r="I143" s="24">
        <v>1</v>
      </c>
      <c r="J143" s="24">
        <v>1</v>
      </c>
      <c r="K143" s="83">
        <v>2</v>
      </c>
      <c r="L143" s="25">
        <v>0</v>
      </c>
      <c r="M143" s="30">
        <v>0</v>
      </c>
      <c r="N143" s="34">
        <v>0</v>
      </c>
      <c r="O143" s="34">
        <v>0</v>
      </c>
      <c r="P143" s="31">
        <v>0</v>
      </c>
      <c r="Q143" s="31">
        <v>0</v>
      </c>
      <c r="R143" s="30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</row>
    <row r="144" spans="1:40" ht="16.8" x14ac:dyDescent="0.3">
      <c r="A144" s="142"/>
      <c r="B144" s="76" t="s">
        <v>88</v>
      </c>
      <c r="C144" s="24" t="s">
        <v>46</v>
      </c>
      <c r="D144" s="36">
        <v>1</v>
      </c>
      <c r="E144" s="24"/>
      <c r="F144" s="24">
        <v>1</v>
      </c>
      <c r="G144" s="24">
        <v>1</v>
      </c>
      <c r="H144" s="24">
        <v>1</v>
      </c>
      <c r="I144" s="24">
        <v>1</v>
      </c>
      <c r="J144" s="24">
        <v>1</v>
      </c>
      <c r="K144" s="24">
        <v>1</v>
      </c>
      <c r="L144" s="25">
        <v>0</v>
      </c>
      <c r="M144" s="30">
        <v>0</v>
      </c>
      <c r="N144" s="34">
        <v>0</v>
      </c>
      <c r="O144" s="34">
        <v>0</v>
      </c>
      <c r="P144" s="31">
        <v>0</v>
      </c>
      <c r="Q144" s="31">
        <v>0</v>
      </c>
      <c r="R144" s="30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</row>
    <row r="145" spans="1:32" ht="16.8" x14ac:dyDescent="0.3">
      <c r="A145" s="142"/>
      <c r="B145" s="76" t="s">
        <v>107</v>
      </c>
      <c r="C145" s="24" t="s">
        <v>44</v>
      </c>
      <c r="D145" s="24">
        <v>1</v>
      </c>
      <c r="E145" s="24"/>
      <c r="F145" s="24">
        <v>1</v>
      </c>
      <c r="G145" s="24">
        <v>1</v>
      </c>
      <c r="H145" s="24">
        <v>1</v>
      </c>
      <c r="I145" s="24">
        <v>1</v>
      </c>
      <c r="J145" s="24">
        <v>1</v>
      </c>
      <c r="K145" s="24">
        <v>1</v>
      </c>
      <c r="L145" s="25">
        <v>0</v>
      </c>
      <c r="M145" s="30">
        <v>0</v>
      </c>
      <c r="N145" s="34">
        <v>0</v>
      </c>
      <c r="O145" s="34">
        <v>0</v>
      </c>
      <c r="P145" s="31">
        <v>0</v>
      </c>
      <c r="Q145" s="31">
        <v>0</v>
      </c>
      <c r="R145" s="30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0</v>
      </c>
      <c r="AD145" s="26">
        <v>0</v>
      </c>
      <c r="AE145" s="26">
        <v>0</v>
      </c>
      <c r="AF145" s="26">
        <v>0</v>
      </c>
    </row>
    <row r="146" spans="1:32" ht="16.8" x14ac:dyDescent="0.3">
      <c r="A146" s="142"/>
      <c r="B146" s="76" t="s">
        <v>108</v>
      </c>
      <c r="C146" s="24" t="s">
        <v>41</v>
      </c>
      <c r="D146" s="24">
        <v>1</v>
      </c>
      <c r="E146" s="24"/>
      <c r="F146" s="24">
        <v>1</v>
      </c>
      <c r="G146" s="24">
        <v>1</v>
      </c>
      <c r="H146" s="24">
        <v>1</v>
      </c>
      <c r="I146" s="24">
        <v>1</v>
      </c>
      <c r="J146" s="24">
        <v>1</v>
      </c>
      <c r="K146" s="24">
        <v>1</v>
      </c>
      <c r="L146" s="25">
        <v>0</v>
      </c>
      <c r="M146" s="30">
        <v>0</v>
      </c>
      <c r="N146" s="34">
        <v>0</v>
      </c>
      <c r="O146" s="34">
        <v>0</v>
      </c>
      <c r="P146" s="31">
        <v>0</v>
      </c>
      <c r="Q146" s="31">
        <v>0</v>
      </c>
      <c r="R146" s="30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</row>
    <row r="147" spans="1:32" ht="16.8" x14ac:dyDescent="0.3">
      <c r="A147" s="142"/>
      <c r="B147" s="73" t="s">
        <v>32</v>
      </c>
      <c r="C147" s="26" t="s">
        <v>25</v>
      </c>
      <c r="D147" s="36">
        <v>7</v>
      </c>
      <c r="E147" s="24"/>
      <c r="F147" s="24">
        <v>10</v>
      </c>
      <c r="G147" s="24">
        <v>10</v>
      </c>
      <c r="H147" s="24">
        <v>10</v>
      </c>
      <c r="I147" s="24">
        <v>10</v>
      </c>
      <c r="J147" s="24">
        <v>10</v>
      </c>
      <c r="K147" s="84">
        <v>7</v>
      </c>
      <c r="L147" s="25">
        <v>0</v>
      </c>
      <c r="M147" s="30">
        <v>0</v>
      </c>
      <c r="N147" s="34">
        <v>0</v>
      </c>
      <c r="O147" s="34">
        <v>0</v>
      </c>
      <c r="P147" s="31">
        <v>0</v>
      </c>
      <c r="Q147" s="31">
        <v>0</v>
      </c>
      <c r="R147" s="30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</row>
    <row r="148" spans="1:32" ht="16.8" x14ac:dyDescent="0.3">
      <c r="A148" s="130" t="s">
        <v>34</v>
      </c>
      <c r="B148" s="73" t="s">
        <v>77</v>
      </c>
      <c r="C148" s="24" t="s">
        <v>69</v>
      </c>
      <c r="D148" s="62">
        <v>14</v>
      </c>
      <c r="E148" s="24"/>
      <c r="F148" s="24">
        <v>12</v>
      </c>
      <c r="G148" s="24">
        <v>12</v>
      </c>
      <c r="H148" s="24">
        <v>12</v>
      </c>
      <c r="I148" s="24">
        <v>12</v>
      </c>
      <c r="J148" s="24">
        <v>12</v>
      </c>
      <c r="K148" s="24">
        <v>12</v>
      </c>
      <c r="L148" s="24">
        <v>6</v>
      </c>
      <c r="M148" s="83">
        <v>8</v>
      </c>
      <c r="N148" s="25">
        <v>0</v>
      </c>
      <c r="O148" s="34">
        <v>0</v>
      </c>
      <c r="P148" s="30">
        <v>0</v>
      </c>
      <c r="Q148" s="30">
        <v>0</v>
      </c>
      <c r="R148" s="34">
        <v>0</v>
      </c>
      <c r="S148" s="31">
        <v>0</v>
      </c>
      <c r="T148" s="31">
        <v>0</v>
      </c>
      <c r="U148" s="30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</row>
    <row r="149" spans="1:32" ht="16.8" x14ac:dyDescent="0.3">
      <c r="A149" s="130"/>
      <c r="B149" s="73" t="s">
        <v>78</v>
      </c>
      <c r="C149" s="24" t="s">
        <v>68</v>
      </c>
      <c r="D149" s="62">
        <v>12</v>
      </c>
      <c r="E149" s="24"/>
      <c r="F149" s="24">
        <v>12</v>
      </c>
      <c r="G149" s="24">
        <v>12</v>
      </c>
      <c r="H149" s="24">
        <v>12</v>
      </c>
      <c r="I149" s="24">
        <v>12</v>
      </c>
      <c r="J149" s="24">
        <v>12</v>
      </c>
      <c r="K149" s="24">
        <v>12</v>
      </c>
      <c r="L149" s="24">
        <v>6</v>
      </c>
      <c r="M149" s="24">
        <v>6</v>
      </c>
      <c r="N149" s="25">
        <v>0</v>
      </c>
      <c r="O149" s="34">
        <v>0</v>
      </c>
      <c r="P149" s="31">
        <v>0</v>
      </c>
      <c r="Q149" s="34">
        <v>0</v>
      </c>
      <c r="R149" s="30">
        <v>0</v>
      </c>
      <c r="S149" s="31">
        <v>0</v>
      </c>
      <c r="T149" s="31">
        <v>0</v>
      </c>
      <c r="U149" s="30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  <c r="AF149" s="26">
        <v>0</v>
      </c>
    </row>
    <row r="150" spans="1:32" ht="16.8" x14ac:dyDescent="0.3">
      <c r="A150" s="130"/>
      <c r="B150" s="74" t="s">
        <v>79</v>
      </c>
      <c r="C150" s="24" t="s">
        <v>94</v>
      </c>
      <c r="D150" s="62">
        <v>25</v>
      </c>
      <c r="E150" s="24"/>
      <c r="F150" s="24">
        <v>22</v>
      </c>
      <c r="G150" s="24">
        <v>22</v>
      </c>
      <c r="H150" s="24">
        <v>22</v>
      </c>
      <c r="I150" s="24">
        <v>22</v>
      </c>
      <c r="J150" s="24">
        <v>22</v>
      </c>
      <c r="K150" s="24">
        <v>22</v>
      </c>
      <c r="L150" s="24">
        <v>22</v>
      </c>
      <c r="M150" s="24">
        <v>22</v>
      </c>
      <c r="N150" s="24">
        <v>8</v>
      </c>
      <c r="O150" s="24">
        <v>7</v>
      </c>
      <c r="P150" s="86">
        <v>10</v>
      </c>
      <c r="Q150" s="25">
        <v>0</v>
      </c>
      <c r="R150" s="34">
        <v>0</v>
      </c>
      <c r="S150" s="30">
        <v>0</v>
      </c>
      <c r="T150" s="31">
        <v>0</v>
      </c>
      <c r="U150" s="30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</row>
    <row r="151" spans="1:32" ht="16.8" x14ac:dyDescent="0.3">
      <c r="A151" s="130"/>
      <c r="B151" s="75" t="s">
        <v>80</v>
      </c>
      <c r="C151" s="24" t="s">
        <v>95</v>
      </c>
      <c r="D151" s="62">
        <v>22</v>
      </c>
      <c r="E151" s="24"/>
      <c r="F151" s="24">
        <v>20</v>
      </c>
      <c r="G151" s="24">
        <v>20</v>
      </c>
      <c r="H151" s="24">
        <v>20</v>
      </c>
      <c r="I151" s="24">
        <v>20</v>
      </c>
      <c r="J151" s="24">
        <v>20</v>
      </c>
      <c r="K151" s="24">
        <v>20</v>
      </c>
      <c r="L151" s="24">
        <v>20</v>
      </c>
      <c r="M151" s="24">
        <v>20</v>
      </c>
      <c r="N151" s="24">
        <v>7</v>
      </c>
      <c r="O151" s="24">
        <v>7</v>
      </c>
      <c r="P151" s="86">
        <v>8</v>
      </c>
      <c r="Q151" s="25">
        <v>0</v>
      </c>
      <c r="R151" s="34">
        <v>0</v>
      </c>
      <c r="S151" s="31">
        <v>0</v>
      </c>
      <c r="T151" s="31">
        <v>0</v>
      </c>
      <c r="U151" s="30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</row>
    <row r="152" spans="1:32" ht="16.8" x14ac:dyDescent="0.3">
      <c r="A152" s="130"/>
      <c r="B152" s="74" t="s">
        <v>81</v>
      </c>
      <c r="C152" s="24" t="s">
        <v>96</v>
      </c>
      <c r="D152" s="62">
        <v>14</v>
      </c>
      <c r="E152" s="24"/>
      <c r="F152" s="24">
        <v>14</v>
      </c>
      <c r="G152" s="24">
        <v>14</v>
      </c>
      <c r="H152" s="24">
        <v>14</v>
      </c>
      <c r="I152" s="24">
        <v>14</v>
      </c>
      <c r="J152" s="24">
        <v>14</v>
      </c>
      <c r="K152" s="24">
        <v>14</v>
      </c>
      <c r="L152" s="24">
        <v>14</v>
      </c>
      <c r="M152" s="24">
        <v>14</v>
      </c>
      <c r="N152" s="24">
        <v>14</v>
      </c>
      <c r="O152" s="24">
        <v>14</v>
      </c>
      <c r="P152" s="24">
        <v>7</v>
      </c>
      <c r="Q152" s="24">
        <v>7</v>
      </c>
      <c r="R152" s="25">
        <v>0</v>
      </c>
      <c r="S152" s="31">
        <v>0</v>
      </c>
      <c r="T152" s="34">
        <v>0</v>
      </c>
      <c r="U152" s="34">
        <v>0</v>
      </c>
      <c r="V152" s="31">
        <v>0</v>
      </c>
      <c r="W152" s="30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</row>
    <row r="153" spans="1:32" ht="16.8" x14ac:dyDescent="0.3">
      <c r="A153" s="130"/>
      <c r="B153" s="74" t="s">
        <v>82</v>
      </c>
      <c r="C153" s="24" t="s">
        <v>64</v>
      </c>
      <c r="D153" s="62">
        <v>14</v>
      </c>
      <c r="E153" s="24"/>
      <c r="F153" s="24">
        <v>14</v>
      </c>
      <c r="G153" s="24">
        <v>14</v>
      </c>
      <c r="H153" s="24">
        <v>14</v>
      </c>
      <c r="I153" s="24">
        <v>14</v>
      </c>
      <c r="J153" s="24">
        <v>14</v>
      </c>
      <c r="K153" s="24">
        <v>14</v>
      </c>
      <c r="L153" s="24">
        <v>14</v>
      </c>
      <c r="M153" s="24">
        <v>14</v>
      </c>
      <c r="N153" s="24">
        <v>14</v>
      </c>
      <c r="O153" s="24">
        <v>14</v>
      </c>
      <c r="P153" s="24">
        <v>14</v>
      </c>
      <c r="Q153" s="24">
        <v>7</v>
      </c>
      <c r="R153" s="24">
        <v>7</v>
      </c>
      <c r="S153" s="25">
        <v>0</v>
      </c>
      <c r="T153" s="34">
        <v>0</v>
      </c>
      <c r="U153" s="34">
        <v>0</v>
      </c>
      <c r="V153" s="31">
        <v>0</v>
      </c>
      <c r="W153" s="30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</row>
    <row r="154" spans="1:32" ht="16.8" x14ac:dyDescent="0.3">
      <c r="A154" s="130"/>
      <c r="B154" s="76" t="s">
        <v>83</v>
      </c>
      <c r="C154" s="24" t="s">
        <v>97</v>
      </c>
      <c r="D154" s="62">
        <v>10</v>
      </c>
      <c r="E154" s="24"/>
      <c r="F154" s="24">
        <v>12</v>
      </c>
      <c r="G154" s="24">
        <v>12</v>
      </c>
      <c r="H154" s="24">
        <v>12</v>
      </c>
      <c r="I154" s="24">
        <v>12</v>
      </c>
      <c r="J154" s="24">
        <v>12</v>
      </c>
      <c r="K154" s="24">
        <v>12</v>
      </c>
      <c r="L154" s="24">
        <v>12</v>
      </c>
      <c r="M154" s="24">
        <v>12</v>
      </c>
      <c r="N154" s="24">
        <v>12</v>
      </c>
      <c r="O154" s="24">
        <v>12</v>
      </c>
      <c r="P154" s="24">
        <v>12</v>
      </c>
      <c r="Q154" s="24">
        <v>12</v>
      </c>
      <c r="R154" s="24">
        <v>4</v>
      </c>
      <c r="S154" s="24">
        <v>4</v>
      </c>
      <c r="T154" s="84">
        <v>2</v>
      </c>
      <c r="U154" s="25">
        <v>0</v>
      </c>
      <c r="V154" s="31">
        <v>0</v>
      </c>
      <c r="W154" s="30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</row>
    <row r="155" spans="1:32" ht="16.8" x14ac:dyDescent="0.3">
      <c r="A155" s="130"/>
      <c r="B155" s="76" t="s">
        <v>84</v>
      </c>
      <c r="C155" s="24" t="s">
        <v>98</v>
      </c>
      <c r="D155" s="62">
        <v>18</v>
      </c>
      <c r="E155" s="24"/>
      <c r="F155" s="24">
        <v>20</v>
      </c>
      <c r="G155" s="24">
        <v>20</v>
      </c>
      <c r="H155" s="24">
        <v>20</v>
      </c>
      <c r="I155" s="24">
        <v>20</v>
      </c>
      <c r="J155" s="24">
        <v>20</v>
      </c>
      <c r="K155" s="24">
        <v>20</v>
      </c>
      <c r="L155" s="24">
        <v>20</v>
      </c>
      <c r="M155" s="24">
        <v>20</v>
      </c>
      <c r="N155" s="24">
        <v>20</v>
      </c>
      <c r="O155" s="24">
        <v>20</v>
      </c>
      <c r="P155" s="24">
        <v>20</v>
      </c>
      <c r="Q155" s="24">
        <v>20</v>
      </c>
      <c r="R155" s="24">
        <v>20</v>
      </c>
      <c r="S155" s="24">
        <v>7</v>
      </c>
      <c r="T155" s="24">
        <v>7</v>
      </c>
      <c r="U155" s="84">
        <v>4</v>
      </c>
      <c r="V155" s="25">
        <v>0</v>
      </c>
      <c r="W155" s="30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  <c r="AF155" s="26">
        <v>0</v>
      </c>
    </row>
    <row r="156" spans="1:32" ht="33.6" x14ac:dyDescent="0.3">
      <c r="A156" s="130"/>
      <c r="B156" s="76" t="s">
        <v>85</v>
      </c>
      <c r="C156" s="24" t="s">
        <v>99</v>
      </c>
      <c r="D156" s="62">
        <v>12</v>
      </c>
      <c r="E156" s="24"/>
      <c r="F156" s="24">
        <v>15</v>
      </c>
      <c r="G156" s="24">
        <v>15</v>
      </c>
      <c r="H156" s="24">
        <v>15</v>
      </c>
      <c r="I156" s="24">
        <v>15</v>
      </c>
      <c r="J156" s="24">
        <v>15</v>
      </c>
      <c r="K156" s="24">
        <v>15</v>
      </c>
      <c r="L156" s="24">
        <v>15</v>
      </c>
      <c r="M156" s="24">
        <v>15</v>
      </c>
      <c r="N156" s="24">
        <v>15</v>
      </c>
      <c r="O156" s="24">
        <v>15</v>
      </c>
      <c r="P156" s="24">
        <v>15</v>
      </c>
      <c r="Q156" s="24">
        <v>15</v>
      </c>
      <c r="R156" s="24">
        <v>15</v>
      </c>
      <c r="S156" s="24">
        <v>15</v>
      </c>
      <c r="T156" s="24">
        <v>5</v>
      </c>
      <c r="U156" s="24">
        <v>5</v>
      </c>
      <c r="V156" s="85">
        <v>2</v>
      </c>
      <c r="W156" s="25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</row>
    <row r="157" spans="1:32" ht="16.8" x14ac:dyDescent="0.3">
      <c r="A157" s="130"/>
      <c r="B157" s="76" t="s">
        <v>86</v>
      </c>
      <c r="C157" s="24" t="s">
        <v>100</v>
      </c>
      <c r="D157" s="62">
        <v>15</v>
      </c>
      <c r="E157" s="24"/>
      <c r="F157" s="24">
        <v>15</v>
      </c>
      <c r="G157" s="24">
        <v>15</v>
      </c>
      <c r="H157" s="24">
        <v>15</v>
      </c>
      <c r="I157" s="24">
        <v>15</v>
      </c>
      <c r="J157" s="24">
        <v>15</v>
      </c>
      <c r="K157" s="24">
        <v>15</v>
      </c>
      <c r="L157" s="24">
        <v>15</v>
      </c>
      <c r="M157" s="24">
        <v>15</v>
      </c>
      <c r="N157" s="24">
        <v>15</v>
      </c>
      <c r="O157" s="24">
        <v>15</v>
      </c>
      <c r="P157" s="24">
        <v>15</v>
      </c>
      <c r="Q157" s="24">
        <v>15</v>
      </c>
      <c r="R157" s="24">
        <v>15</v>
      </c>
      <c r="S157" s="24">
        <v>15</v>
      </c>
      <c r="T157" s="24">
        <v>5</v>
      </c>
      <c r="U157" s="24">
        <v>5</v>
      </c>
      <c r="V157" s="24">
        <v>5</v>
      </c>
      <c r="W157" s="25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</row>
    <row r="158" spans="1:32" ht="16.8" x14ac:dyDescent="0.3">
      <c r="A158" s="130"/>
      <c r="B158" s="76" t="s">
        <v>87</v>
      </c>
      <c r="C158" s="24" t="s">
        <v>101</v>
      </c>
      <c r="D158" s="63">
        <v>12</v>
      </c>
      <c r="E158" s="24"/>
      <c r="F158" s="24">
        <v>12</v>
      </c>
      <c r="G158" s="24">
        <v>12</v>
      </c>
      <c r="H158" s="24">
        <v>12</v>
      </c>
      <c r="I158" s="24">
        <v>12</v>
      </c>
      <c r="J158" s="24">
        <v>12</v>
      </c>
      <c r="K158" s="24">
        <v>12</v>
      </c>
      <c r="L158" s="24">
        <v>12</v>
      </c>
      <c r="M158" s="24">
        <v>12</v>
      </c>
      <c r="N158" s="24">
        <v>12</v>
      </c>
      <c r="O158" s="24">
        <v>12</v>
      </c>
      <c r="P158" s="24">
        <v>12</v>
      </c>
      <c r="Q158" s="24">
        <v>12</v>
      </c>
      <c r="R158" s="24">
        <v>12</v>
      </c>
      <c r="S158" s="24">
        <v>12</v>
      </c>
      <c r="T158" s="24">
        <v>12</v>
      </c>
      <c r="U158" s="24">
        <v>12</v>
      </c>
      <c r="V158" s="24">
        <v>6</v>
      </c>
      <c r="W158" s="24">
        <v>6</v>
      </c>
      <c r="X158" s="25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6">
        <v>0</v>
      </c>
    </row>
    <row r="159" spans="1:32" ht="16.8" x14ac:dyDescent="0.3">
      <c r="A159" s="130"/>
      <c r="B159" s="76" t="s">
        <v>88</v>
      </c>
      <c r="C159" s="24" t="s">
        <v>102</v>
      </c>
      <c r="D159" s="64">
        <v>12</v>
      </c>
      <c r="E159" s="24"/>
      <c r="F159" s="24">
        <v>12</v>
      </c>
      <c r="G159" s="24">
        <v>12</v>
      </c>
      <c r="H159" s="24">
        <v>12</v>
      </c>
      <c r="I159" s="24">
        <v>12</v>
      </c>
      <c r="J159" s="24">
        <v>12</v>
      </c>
      <c r="K159" s="24">
        <v>12</v>
      </c>
      <c r="L159" s="24">
        <v>12</v>
      </c>
      <c r="M159" s="24">
        <v>12</v>
      </c>
      <c r="N159" s="24">
        <v>12</v>
      </c>
      <c r="O159" s="24">
        <v>12</v>
      </c>
      <c r="P159" s="24">
        <v>12</v>
      </c>
      <c r="Q159" s="24">
        <v>12</v>
      </c>
      <c r="R159" s="24">
        <v>12</v>
      </c>
      <c r="S159" s="24">
        <v>12</v>
      </c>
      <c r="T159" s="24">
        <v>12</v>
      </c>
      <c r="U159" s="24">
        <v>12</v>
      </c>
      <c r="V159" s="24">
        <v>6</v>
      </c>
      <c r="W159" s="24">
        <v>6</v>
      </c>
      <c r="X159" s="25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</row>
    <row r="160" spans="1:32" ht="16.8" x14ac:dyDescent="0.3">
      <c r="A160" s="130"/>
      <c r="B160" s="76" t="s">
        <v>107</v>
      </c>
      <c r="C160" s="24" t="s">
        <v>101</v>
      </c>
      <c r="D160" s="24">
        <v>14</v>
      </c>
      <c r="F160" s="24">
        <v>12</v>
      </c>
      <c r="G160" s="24">
        <v>12</v>
      </c>
      <c r="H160" s="24">
        <v>12</v>
      </c>
      <c r="I160" s="24">
        <v>12</v>
      </c>
      <c r="J160" s="24">
        <v>12</v>
      </c>
      <c r="K160" s="24">
        <v>12</v>
      </c>
      <c r="L160" s="24">
        <v>12</v>
      </c>
      <c r="M160" s="24">
        <v>12</v>
      </c>
      <c r="N160" s="24">
        <v>12</v>
      </c>
      <c r="O160" s="24">
        <v>12</v>
      </c>
      <c r="P160" s="24">
        <v>12</v>
      </c>
      <c r="Q160" s="24">
        <v>12</v>
      </c>
      <c r="R160" s="24">
        <v>12</v>
      </c>
      <c r="S160" s="24">
        <v>12</v>
      </c>
      <c r="T160" s="24">
        <v>12</v>
      </c>
      <c r="U160" s="24">
        <v>12</v>
      </c>
      <c r="V160" s="24">
        <v>12</v>
      </c>
      <c r="W160" s="24">
        <v>6</v>
      </c>
      <c r="X160" s="86">
        <v>8</v>
      </c>
      <c r="Y160" s="25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  <c r="AF160" s="26">
        <v>0</v>
      </c>
    </row>
    <row r="161" spans="1:32" ht="16.8" x14ac:dyDescent="0.3">
      <c r="A161" s="130"/>
      <c r="B161" s="76" t="s">
        <v>108</v>
      </c>
      <c r="C161" s="24" t="s">
        <v>102</v>
      </c>
      <c r="D161" s="24">
        <v>13</v>
      </c>
      <c r="F161" s="24">
        <v>12</v>
      </c>
      <c r="G161" s="24">
        <v>12</v>
      </c>
      <c r="H161" s="24">
        <v>12</v>
      </c>
      <c r="I161" s="24">
        <v>12</v>
      </c>
      <c r="J161" s="24">
        <v>12</v>
      </c>
      <c r="K161" s="24">
        <v>12</v>
      </c>
      <c r="L161" s="24">
        <v>12</v>
      </c>
      <c r="M161" s="24">
        <v>12</v>
      </c>
      <c r="N161" s="24">
        <v>12</v>
      </c>
      <c r="O161" s="24">
        <v>12</v>
      </c>
      <c r="P161" s="24">
        <v>12</v>
      </c>
      <c r="Q161" s="24">
        <v>12</v>
      </c>
      <c r="R161" s="24">
        <v>12</v>
      </c>
      <c r="S161" s="24">
        <v>12</v>
      </c>
      <c r="T161" s="24">
        <v>12</v>
      </c>
      <c r="U161" s="24">
        <v>12</v>
      </c>
      <c r="V161" s="24">
        <v>12</v>
      </c>
      <c r="W161" s="24">
        <v>6</v>
      </c>
      <c r="X161" s="86">
        <v>7</v>
      </c>
      <c r="Y161" s="25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0</v>
      </c>
    </row>
    <row r="162" spans="1:32" ht="16.8" x14ac:dyDescent="0.3">
      <c r="A162" s="130"/>
      <c r="B162" s="73" t="s">
        <v>91</v>
      </c>
      <c r="C162" s="26" t="s">
        <v>25</v>
      </c>
      <c r="D162" s="64">
        <v>8</v>
      </c>
      <c r="E162" s="24"/>
      <c r="F162" s="24">
        <v>10</v>
      </c>
      <c r="G162" s="24">
        <v>10</v>
      </c>
      <c r="H162" s="24">
        <v>10</v>
      </c>
      <c r="I162" s="24">
        <v>10</v>
      </c>
      <c r="J162" s="24">
        <v>10</v>
      </c>
      <c r="K162" s="24">
        <v>10</v>
      </c>
      <c r="L162" s="24">
        <v>10</v>
      </c>
      <c r="M162" s="24">
        <v>10</v>
      </c>
      <c r="N162" s="24">
        <v>10</v>
      </c>
      <c r="O162" s="24">
        <v>10</v>
      </c>
      <c r="P162" s="24">
        <v>10</v>
      </c>
      <c r="Q162" s="24">
        <v>10</v>
      </c>
      <c r="R162" s="24">
        <v>10</v>
      </c>
      <c r="S162" s="24">
        <v>10</v>
      </c>
      <c r="T162" s="24">
        <v>10</v>
      </c>
      <c r="U162" s="24">
        <v>10</v>
      </c>
      <c r="V162" s="24">
        <v>10</v>
      </c>
      <c r="W162" s="24">
        <v>10</v>
      </c>
      <c r="X162" s="85">
        <v>8</v>
      </c>
      <c r="Y162" s="25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</row>
    <row r="163" spans="1:32" ht="16.8" x14ac:dyDescent="0.3">
      <c r="A163" s="130" t="s">
        <v>35</v>
      </c>
      <c r="B163" s="73" t="s">
        <v>77</v>
      </c>
      <c r="C163" s="24" t="s">
        <v>61</v>
      </c>
      <c r="D163" s="63">
        <v>3</v>
      </c>
      <c r="E163" s="24"/>
      <c r="F163" s="82">
        <v>1</v>
      </c>
      <c r="G163" s="34">
        <v>1</v>
      </c>
      <c r="H163" s="34">
        <v>1</v>
      </c>
      <c r="I163" s="34">
        <v>1</v>
      </c>
      <c r="J163" s="34">
        <v>1</v>
      </c>
      <c r="K163" s="34">
        <v>1</v>
      </c>
      <c r="L163" s="34">
        <v>1</v>
      </c>
      <c r="M163" s="34">
        <v>1</v>
      </c>
      <c r="N163" s="34">
        <v>1</v>
      </c>
      <c r="O163" s="34">
        <v>1</v>
      </c>
      <c r="P163" s="34">
        <v>1</v>
      </c>
      <c r="Q163" s="34">
        <v>1</v>
      </c>
      <c r="R163" s="34">
        <v>1</v>
      </c>
      <c r="S163" s="34">
        <v>1</v>
      </c>
      <c r="T163" s="31">
        <v>1</v>
      </c>
      <c r="U163" s="30">
        <v>1</v>
      </c>
      <c r="V163" s="26">
        <v>1</v>
      </c>
      <c r="W163" s="26">
        <v>1</v>
      </c>
      <c r="X163" s="26">
        <v>1</v>
      </c>
      <c r="Y163" s="86">
        <v>3</v>
      </c>
      <c r="Z163" s="25">
        <v>0</v>
      </c>
      <c r="AA163" s="30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</row>
    <row r="164" spans="1:32" ht="16.8" x14ac:dyDescent="0.3">
      <c r="A164" s="130"/>
      <c r="B164" s="73" t="s">
        <v>78</v>
      </c>
      <c r="C164" s="24" t="s">
        <v>46</v>
      </c>
      <c r="D164" s="63">
        <v>1</v>
      </c>
      <c r="E164" s="24"/>
      <c r="F164" s="82">
        <v>1</v>
      </c>
      <c r="G164" s="34">
        <v>1</v>
      </c>
      <c r="H164" s="34">
        <v>1</v>
      </c>
      <c r="I164" s="34">
        <v>1</v>
      </c>
      <c r="J164" s="34">
        <v>1</v>
      </c>
      <c r="K164" s="34">
        <v>1</v>
      </c>
      <c r="L164" s="34">
        <v>1</v>
      </c>
      <c r="M164" s="34">
        <v>1</v>
      </c>
      <c r="N164" s="34">
        <v>1</v>
      </c>
      <c r="O164" s="34">
        <v>1</v>
      </c>
      <c r="P164" s="34">
        <v>1</v>
      </c>
      <c r="Q164" s="34">
        <v>1</v>
      </c>
      <c r="R164" s="34">
        <v>1</v>
      </c>
      <c r="S164" s="34">
        <v>1</v>
      </c>
      <c r="T164" s="34">
        <v>1</v>
      </c>
      <c r="U164" s="34">
        <v>1</v>
      </c>
      <c r="V164" s="31">
        <v>1</v>
      </c>
      <c r="W164" s="30">
        <v>1</v>
      </c>
      <c r="X164" s="26">
        <v>1</v>
      </c>
      <c r="Y164" s="26">
        <v>1</v>
      </c>
      <c r="Z164" s="25">
        <v>0</v>
      </c>
      <c r="AA164" s="30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</row>
    <row r="165" spans="1:32" ht="16.8" x14ac:dyDescent="0.3">
      <c r="A165" s="130"/>
      <c r="B165" s="74" t="s">
        <v>79</v>
      </c>
      <c r="C165" s="24" t="s">
        <v>42</v>
      </c>
      <c r="D165" s="63">
        <v>3</v>
      </c>
      <c r="E165" s="24"/>
      <c r="F165" s="82">
        <v>1</v>
      </c>
      <c r="G165" s="34">
        <v>1</v>
      </c>
      <c r="H165" s="34">
        <v>1</v>
      </c>
      <c r="I165" s="34">
        <v>1</v>
      </c>
      <c r="J165" s="34">
        <v>1</v>
      </c>
      <c r="K165" s="34">
        <v>1</v>
      </c>
      <c r="L165" s="34">
        <v>1</v>
      </c>
      <c r="M165" s="34">
        <v>1</v>
      </c>
      <c r="N165" s="34">
        <v>1</v>
      </c>
      <c r="O165" s="34">
        <v>1</v>
      </c>
      <c r="P165" s="34">
        <v>1</v>
      </c>
      <c r="Q165" s="34">
        <v>1</v>
      </c>
      <c r="R165" s="34">
        <v>1</v>
      </c>
      <c r="S165" s="34">
        <v>1</v>
      </c>
      <c r="T165" s="34">
        <v>1</v>
      </c>
      <c r="U165" s="34">
        <v>1</v>
      </c>
      <c r="V165" s="31">
        <v>1</v>
      </c>
      <c r="W165" s="30">
        <v>1</v>
      </c>
      <c r="X165" s="26">
        <v>1</v>
      </c>
      <c r="Y165" s="86">
        <v>3</v>
      </c>
      <c r="Z165" s="25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</row>
    <row r="166" spans="1:32" ht="16.8" x14ac:dyDescent="0.3">
      <c r="A166" s="130"/>
      <c r="B166" s="75" t="s">
        <v>80</v>
      </c>
      <c r="C166" s="24" t="s">
        <v>40</v>
      </c>
      <c r="D166" s="63">
        <v>2</v>
      </c>
      <c r="E166" s="24"/>
      <c r="F166" s="82">
        <v>1</v>
      </c>
      <c r="G166" s="34">
        <v>1</v>
      </c>
      <c r="H166" s="34">
        <v>1</v>
      </c>
      <c r="I166" s="34">
        <v>1</v>
      </c>
      <c r="J166" s="34">
        <v>1</v>
      </c>
      <c r="K166" s="34">
        <v>1</v>
      </c>
      <c r="L166" s="34">
        <v>1</v>
      </c>
      <c r="M166" s="34">
        <v>1</v>
      </c>
      <c r="N166" s="34">
        <v>1</v>
      </c>
      <c r="O166" s="34">
        <v>1</v>
      </c>
      <c r="P166" s="34">
        <v>1</v>
      </c>
      <c r="Q166" s="34">
        <v>1</v>
      </c>
      <c r="R166" s="34">
        <v>1</v>
      </c>
      <c r="S166" s="34">
        <v>1</v>
      </c>
      <c r="T166" s="34">
        <v>1</v>
      </c>
      <c r="U166" s="34">
        <v>1</v>
      </c>
      <c r="V166" s="31">
        <v>1</v>
      </c>
      <c r="W166" s="30">
        <v>1</v>
      </c>
      <c r="X166" s="26">
        <v>1</v>
      </c>
      <c r="Y166" s="86">
        <v>2</v>
      </c>
      <c r="Z166" s="25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  <c r="AF166" s="26">
        <v>0</v>
      </c>
    </row>
    <row r="167" spans="1:32" ht="16.8" x14ac:dyDescent="0.3">
      <c r="A167" s="130"/>
      <c r="B167" s="74" t="s">
        <v>81</v>
      </c>
      <c r="C167" s="24" t="s">
        <v>46</v>
      </c>
      <c r="D167" s="63">
        <v>1</v>
      </c>
      <c r="E167" s="24"/>
      <c r="F167" s="82">
        <v>1</v>
      </c>
      <c r="G167" s="34">
        <v>1</v>
      </c>
      <c r="H167" s="34">
        <v>1</v>
      </c>
      <c r="I167" s="34">
        <v>1</v>
      </c>
      <c r="J167" s="34">
        <v>1</v>
      </c>
      <c r="K167" s="34">
        <v>1</v>
      </c>
      <c r="L167" s="34">
        <v>1</v>
      </c>
      <c r="M167" s="34">
        <v>1</v>
      </c>
      <c r="N167" s="34">
        <v>1</v>
      </c>
      <c r="O167" s="34">
        <v>1</v>
      </c>
      <c r="P167" s="34">
        <v>1</v>
      </c>
      <c r="Q167" s="34">
        <v>1</v>
      </c>
      <c r="R167" s="34">
        <v>1</v>
      </c>
      <c r="S167" s="34">
        <v>1</v>
      </c>
      <c r="T167" s="34">
        <v>1</v>
      </c>
      <c r="U167" s="34">
        <v>1</v>
      </c>
      <c r="V167" s="34">
        <v>1</v>
      </c>
      <c r="W167" s="34">
        <v>1</v>
      </c>
      <c r="X167" s="34">
        <v>1</v>
      </c>
      <c r="Y167" s="26">
        <v>1</v>
      </c>
      <c r="Z167" s="25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</row>
    <row r="168" spans="1:32" ht="16.8" x14ac:dyDescent="0.3">
      <c r="A168" s="130"/>
      <c r="B168" s="74" t="s">
        <v>82</v>
      </c>
      <c r="C168" s="24" t="s">
        <v>44</v>
      </c>
      <c r="D168" s="63">
        <v>1</v>
      </c>
      <c r="E168" s="24"/>
      <c r="F168" s="82">
        <v>1</v>
      </c>
      <c r="G168" s="34">
        <v>1</v>
      </c>
      <c r="H168" s="34">
        <v>1</v>
      </c>
      <c r="I168" s="34">
        <v>1</v>
      </c>
      <c r="J168" s="34">
        <v>1</v>
      </c>
      <c r="K168" s="34">
        <v>1</v>
      </c>
      <c r="L168" s="34">
        <v>1</v>
      </c>
      <c r="M168" s="34">
        <v>1</v>
      </c>
      <c r="N168" s="34">
        <v>1</v>
      </c>
      <c r="O168" s="34">
        <v>1</v>
      </c>
      <c r="P168" s="34">
        <v>1</v>
      </c>
      <c r="Q168" s="34">
        <v>1</v>
      </c>
      <c r="R168" s="34">
        <v>1</v>
      </c>
      <c r="S168" s="34">
        <v>1</v>
      </c>
      <c r="T168" s="34">
        <v>1</v>
      </c>
      <c r="U168" s="34">
        <v>1</v>
      </c>
      <c r="V168" s="34">
        <v>1</v>
      </c>
      <c r="W168" s="31">
        <v>1</v>
      </c>
      <c r="X168" s="30">
        <v>1</v>
      </c>
      <c r="Y168" s="26">
        <v>1</v>
      </c>
      <c r="Z168" s="25">
        <v>0</v>
      </c>
      <c r="AA168" s="26">
        <v>0</v>
      </c>
      <c r="AB168" s="30">
        <v>0</v>
      </c>
      <c r="AC168" s="26">
        <v>0</v>
      </c>
      <c r="AD168" s="26">
        <v>0</v>
      </c>
      <c r="AE168" s="26">
        <v>0</v>
      </c>
      <c r="AF168" s="26">
        <v>0</v>
      </c>
    </row>
    <row r="169" spans="1:32" ht="16.8" x14ac:dyDescent="0.3">
      <c r="A169" s="130"/>
      <c r="B169" s="76" t="s">
        <v>83</v>
      </c>
      <c r="C169" s="24" t="s">
        <v>41</v>
      </c>
      <c r="D169" s="63">
        <v>1</v>
      </c>
      <c r="E169" s="24"/>
      <c r="F169" s="82">
        <v>1</v>
      </c>
      <c r="G169" s="34">
        <v>1</v>
      </c>
      <c r="H169" s="34">
        <v>1</v>
      </c>
      <c r="I169" s="34">
        <v>1</v>
      </c>
      <c r="J169" s="34">
        <v>1</v>
      </c>
      <c r="K169" s="34">
        <v>1</v>
      </c>
      <c r="L169" s="34">
        <v>1</v>
      </c>
      <c r="M169" s="34">
        <v>1</v>
      </c>
      <c r="N169" s="34">
        <v>1</v>
      </c>
      <c r="O169" s="34">
        <v>1</v>
      </c>
      <c r="P169" s="34">
        <v>1</v>
      </c>
      <c r="Q169" s="34">
        <v>1</v>
      </c>
      <c r="R169" s="34">
        <v>1</v>
      </c>
      <c r="S169" s="34">
        <v>1</v>
      </c>
      <c r="T169" s="34">
        <v>1</v>
      </c>
      <c r="U169" s="34">
        <v>1</v>
      </c>
      <c r="V169" s="34">
        <v>1</v>
      </c>
      <c r="W169" s="34">
        <v>1</v>
      </c>
      <c r="X169" s="34">
        <v>1</v>
      </c>
      <c r="Y169" s="34">
        <v>1</v>
      </c>
      <c r="Z169" s="34">
        <v>1</v>
      </c>
      <c r="AA169" s="25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</row>
    <row r="170" spans="1:32" ht="16.8" x14ac:dyDescent="0.3">
      <c r="A170" s="130"/>
      <c r="B170" s="76" t="s">
        <v>84</v>
      </c>
      <c r="C170" s="24" t="s">
        <v>42</v>
      </c>
      <c r="D170" s="63">
        <v>3</v>
      </c>
      <c r="E170" s="24"/>
      <c r="F170" s="82">
        <v>1</v>
      </c>
      <c r="G170" s="34">
        <v>1</v>
      </c>
      <c r="H170" s="34">
        <v>1</v>
      </c>
      <c r="I170" s="34">
        <v>1</v>
      </c>
      <c r="J170" s="34">
        <v>1</v>
      </c>
      <c r="K170" s="34">
        <v>1</v>
      </c>
      <c r="L170" s="34">
        <v>1</v>
      </c>
      <c r="M170" s="34">
        <v>1</v>
      </c>
      <c r="N170" s="34">
        <v>1</v>
      </c>
      <c r="O170" s="34">
        <v>1</v>
      </c>
      <c r="P170" s="34">
        <v>1</v>
      </c>
      <c r="Q170" s="34">
        <v>1</v>
      </c>
      <c r="R170" s="34">
        <v>1</v>
      </c>
      <c r="S170" s="34">
        <v>1</v>
      </c>
      <c r="T170" s="34">
        <v>1</v>
      </c>
      <c r="U170" s="34">
        <v>1</v>
      </c>
      <c r="V170" s="34">
        <v>1</v>
      </c>
      <c r="W170" s="34">
        <v>1</v>
      </c>
      <c r="X170" s="34">
        <v>1</v>
      </c>
      <c r="Y170" s="34">
        <v>1</v>
      </c>
      <c r="Z170" s="86">
        <v>3</v>
      </c>
      <c r="AA170" s="25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</row>
    <row r="171" spans="1:32" ht="33.6" x14ac:dyDescent="0.3">
      <c r="A171" s="130"/>
      <c r="B171" s="76" t="s">
        <v>85</v>
      </c>
      <c r="C171" s="24" t="s">
        <v>40</v>
      </c>
      <c r="D171" s="63">
        <v>1</v>
      </c>
      <c r="E171" s="24"/>
      <c r="F171" s="82">
        <v>1</v>
      </c>
      <c r="G171" s="34">
        <v>1</v>
      </c>
      <c r="H171" s="34">
        <v>1</v>
      </c>
      <c r="I171" s="34">
        <v>1</v>
      </c>
      <c r="J171" s="34">
        <v>1</v>
      </c>
      <c r="K171" s="34">
        <v>1</v>
      </c>
      <c r="L171" s="34">
        <v>1</v>
      </c>
      <c r="M171" s="34">
        <v>1</v>
      </c>
      <c r="N171" s="34">
        <v>1</v>
      </c>
      <c r="O171" s="34">
        <v>1</v>
      </c>
      <c r="P171" s="34">
        <v>1</v>
      </c>
      <c r="Q171" s="34">
        <v>1</v>
      </c>
      <c r="R171" s="34">
        <v>1</v>
      </c>
      <c r="S171" s="34">
        <v>1</v>
      </c>
      <c r="T171" s="34">
        <v>1</v>
      </c>
      <c r="U171" s="34">
        <v>1</v>
      </c>
      <c r="V171" s="31">
        <v>1</v>
      </c>
      <c r="W171" s="30">
        <v>1</v>
      </c>
      <c r="X171" s="26">
        <v>1</v>
      </c>
      <c r="Y171" s="26">
        <v>1</v>
      </c>
      <c r="Z171" s="26">
        <v>1</v>
      </c>
      <c r="AA171" s="25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</row>
    <row r="172" spans="1:32" ht="16.8" x14ac:dyDescent="0.3">
      <c r="A172" s="130"/>
      <c r="B172" s="76" t="s">
        <v>86</v>
      </c>
      <c r="C172" s="24" t="s">
        <v>42</v>
      </c>
      <c r="D172" s="63">
        <v>1</v>
      </c>
      <c r="E172" s="24"/>
      <c r="F172" s="82">
        <v>1</v>
      </c>
      <c r="G172" s="34">
        <v>1</v>
      </c>
      <c r="H172" s="34">
        <v>1</v>
      </c>
      <c r="I172" s="34">
        <v>1</v>
      </c>
      <c r="J172" s="34">
        <v>1</v>
      </c>
      <c r="K172" s="34">
        <v>1</v>
      </c>
      <c r="L172" s="34">
        <v>1</v>
      </c>
      <c r="M172" s="34">
        <v>1</v>
      </c>
      <c r="N172" s="34">
        <v>1</v>
      </c>
      <c r="O172" s="34">
        <v>1</v>
      </c>
      <c r="P172" s="34">
        <v>1</v>
      </c>
      <c r="Q172" s="34">
        <v>1</v>
      </c>
      <c r="R172" s="34">
        <v>1</v>
      </c>
      <c r="S172" s="34">
        <v>1</v>
      </c>
      <c r="T172" s="34">
        <v>1</v>
      </c>
      <c r="U172" s="34">
        <v>1</v>
      </c>
      <c r="V172" s="31">
        <v>1</v>
      </c>
      <c r="W172" s="30">
        <v>1</v>
      </c>
      <c r="X172" s="26">
        <v>1</v>
      </c>
      <c r="Y172" s="26">
        <v>1</v>
      </c>
      <c r="Z172" s="34">
        <v>1</v>
      </c>
      <c r="AA172" s="25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</row>
    <row r="173" spans="1:32" ht="16.8" x14ac:dyDescent="0.3">
      <c r="A173" s="130"/>
      <c r="B173" s="76" t="s">
        <v>87</v>
      </c>
      <c r="C173" s="24" t="s">
        <v>44</v>
      </c>
      <c r="D173" s="63">
        <v>1</v>
      </c>
      <c r="E173" s="24"/>
      <c r="F173" s="82">
        <v>1</v>
      </c>
      <c r="G173" s="34">
        <v>1</v>
      </c>
      <c r="H173" s="34">
        <v>1</v>
      </c>
      <c r="I173" s="34">
        <v>1</v>
      </c>
      <c r="J173" s="34">
        <v>1</v>
      </c>
      <c r="K173" s="34">
        <v>1</v>
      </c>
      <c r="L173" s="34">
        <v>1</v>
      </c>
      <c r="M173" s="34">
        <v>1</v>
      </c>
      <c r="N173" s="34">
        <v>1</v>
      </c>
      <c r="O173" s="34">
        <v>1</v>
      </c>
      <c r="P173" s="34">
        <v>1</v>
      </c>
      <c r="Q173" s="34">
        <v>1</v>
      </c>
      <c r="R173" s="34">
        <v>1</v>
      </c>
      <c r="S173" s="34">
        <v>1</v>
      </c>
      <c r="T173" s="34">
        <v>1</v>
      </c>
      <c r="U173" s="34">
        <v>1</v>
      </c>
      <c r="V173" s="31">
        <v>1</v>
      </c>
      <c r="W173" s="30">
        <v>1</v>
      </c>
      <c r="X173" s="26">
        <v>1</v>
      </c>
      <c r="Y173" s="26">
        <v>1</v>
      </c>
      <c r="Z173" s="34">
        <v>1</v>
      </c>
      <c r="AA173" s="25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</row>
    <row r="174" spans="1:32" ht="16.8" x14ac:dyDescent="0.3">
      <c r="A174" s="130"/>
      <c r="B174" s="76" t="s">
        <v>88</v>
      </c>
      <c r="C174" s="24" t="s">
        <v>46</v>
      </c>
      <c r="D174" s="63">
        <v>1</v>
      </c>
      <c r="E174" s="24"/>
      <c r="F174" s="82">
        <v>1</v>
      </c>
      <c r="G174" s="34">
        <v>1</v>
      </c>
      <c r="H174" s="34">
        <v>1</v>
      </c>
      <c r="I174" s="34">
        <v>1</v>
      </c>
      <c r="J174" s="34">
        <v>1</v>
      </c>
      <c r="K174" s="34">
        <v>1</v>
      </c>
      <c r="L174" s="34">
        <v>1</v>
      </c>
      <c r="M174" s="34">
        <v>1</v>
      </c>
      <c r="N174" s="34">
        <v>1</v>
      </c>
      <c r="O174" s="34">
        <v>1</v>
      </c>
      <c r="P174" s="34">
        <v>1</v>
      </c>
      <c r="Q174" s="34">
        <v>1</v>
      </c>
      <c r="R174" s="34">
        <v>1</v>
      </c>
      <c r="S174" s="34">
        <v>1</v>
      </c>
      <c r="T174" s="34">
        <v>1</v>
      </c>
      <c r="U174" s="34">
        <v>1</v>
      </c>
      <c r="V174" s="31">
        <v>1</v>
      </c>
      <c r="W174" s="30">
        <v>1</v>
      </c>
      <c r="X174" s="26">
        <v>1</v>
      </c>
      <c r="Y174" s="26">
        <v>1</v>
      </c>
      <c r="Z174" s="34">
        <v>1</v>
      </c>
      <c r="AA174" s="25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</row>
    <row r="175" spans="1:32" ht="16.8" x14ac:dyDescent="0.3">
      <c r="A175" s="130"/>
      <c r="B175" s="76" t="s">
        <v>107</v>
      </c>
      <c r="C175" s="24" t="s">
        <v>44</v>
      </c>
      <c r="D175" s="24">
        <v>1</v>
      </c>
      <c r="E175" s="24"/>
      <c r="F175" s="24">
        <v>1</v>
      </c>
      <c r="G175" s="24">
        <v>1</v>
      </c>
      <c r="H175" s="24">
        <v>1</v>
      </c>
      <c r="I175" s="24">
        <v>1</v>
      </c>
      <c r="J175" s="24">
        <v>1</v>
      </c>
      <c r="K175" s="24">
        <v>1</v>
      </c>
      <c r="L175" s="24">
        <v>1</v>
      </c>
      <c r="M175" s="24">
        <v>1</v>
      </c>
      <c r="N175" s="24">
        <v>1</v>
      </c>
      <c r="O175" s="24">
        <v>1</v>
      </c>
      <c r="P175" s="24">
        <v>1</v>
      </c>
      <c r="Q175" s="24">
        <v>1</v>
      </c>
      <c r="R175" s="24">
        <v>1</v>
      </c>
      <c r="S175" s="24">
        <v>1</v>
      </c>
      <c r="T175" s="24">
        <v>1</v>
      </c>
      <c r="U175" s="24">
        <v>1</v>
      </c>
      <c r="V175" s="24">
        <v>1</v>
      </c>
      <c r="W175" s="24">
        <v>1</v>
      </c>
      <c r="X175" s="24">
        <v>1</v>
      </c>
      <c r="Y175" s="24">
        <v>1</v>
      </c>
      <c r="Z175" s="24">
        <v>1</v>
      </c>
      <c r="AA175" s="25">
        <v>0</v>
      </c>
      <c r="AB175" s="26">
        <v>0</v>
      </c>
      <c r="AC175" s="26">
        <v>0</v>
      </c>
      <c r="AD175" s="26">
        <v>0</v>
      </c>
      <c r="AE175" s="26">
        <v>0</v>
      </c>
      <c r="AF175" s="26">
        <v>0</v>
      </c>
    </row>
    <row r="176" spans="1:32" ht="16.8" x14ac:dyDescent="0.3">
      <c r="A176" s="130"/>
      <c r="B176" s="76" t="s">
        <v>108</v>
      </c>
      <c r="C176" s="24" t="s">
        <v>41</v>
      </c>
      <c r="D176" s="24">
        <v>1</v>
      </c>
      <c r="E176" s="24"/>
      <c r="F176" s="24">
        <v>1</v>
      </c>
      <c r="G176" s="24">
        <v>1</v>
      </c>
      <c r="H176" s="24">
        <v>1</v>
      </c>
      <c r="I176" s="24">
        <v>1</v>
      </c>
      <c r="J176" s="24">
        <v>1</v>
      </c>
      <c r="K176" s="24">
        <v>1</v>
      </c>
      <c r="L176" s="24">
        <v>1</v>
      </c>
      <c r="M176" s="24">
        <v>1</v>
      </c>
      <c r="N176" s="24">
        <v>1</v>
      </c>
      <c r="O176" s="24">
        <v>1</v>
      </c>
      <c r="P176" s="24">
        <v>1</v>
      </c>
      <c r="Q176" s="24">
        <v>1</v>
      </c>
      <c r="R176" s="24">
        <v>1</v>
      </c>
      <c r="S176" s="24">
        <v>1</v>
      </c>
      <c r="T176" s="24">
        <v>1</v>
      </c>
      <c r="U176" s="24">
        <v>1</v>
      </c>
      <c r="V176" s="24">
        <v>1</v>
      </c>
      <c r="W176" s="24">
        <v>1</v>
      </c>
      <c r="X176" s="24">
        <v>1</v>
      </c>
      <c r="Y176" s="24">
        <v>1</v>
      </c>
      <c r="Z176" s="24">
        <v>1</v>
      </c>
      <c r="AA176" s="25">
        <v>0</v>
      </c>
      <c r="AB176" s="26">
        <v>0</v>
      </c>
      <c r="AC176" s="26">
        <v>0</v>
      </c>
      <c r="AD176" s="26">
        <v>0</v>
      </c>
      <c r="AE176" s="26">
        <v>0</v>
      </c>
      <c r="AF176" s="26">
        <v>0</v>
      </c>
    </row>
    <row r="177" spans="1:32" ht="16.8" x14ac:dyDescent="0.3">
      <c r="A177" s="130" t="s">
        <v>36</v>
      </c>
      <c r="B177" s="73" t="s">
        <v>77</v>
      </c>
      <c r="C177" s="24" t="s">
        <v>69</v>
      </c>
      <c r="D177" s="63">
        <v>3</v>
      </c>
      <c r="E177" s="24"/>
      <c r="F177" s="82">
        <v>1</v>
      </c>
      <c r="G177" s="34">
        <v>1</v>
      </c>
      <c r="H177" s="34">
        <v>1</v>
      </c>
      <c r="I177" s="34">
        <v>1</v>
      </c>
      <c r="J177" s="34">
        <v>1</v>
      </c>
      <c r="K177" s="34">
        <v>1</v>
      </c>
      <c r="L177" s="34">
        <v>1</v>
      </c>
      <c r="M177" s="34">
        <v>1</v>
      </c>
      <c r="N177" s="34">
        <v>1</v>
      </c>
      <c r="O177" s="34">
        <v>1</v>
      </c>
      <c r="P177" s="34">
        <v>1</v>
      </c>
      <c r="Q177" s="34">
        <v>1</v>
      </c>
      <c r="R177" s="34">
        <v>1</v>
      </c>
      <c r="S177" s="34">
        <v>1</v>
      </c>
      <c r="T177" s="34">
        <v>1</v>
      </c>
      <c r="U177" s="34">
        <v>1</v>
      </c>
      <c r="V177" s="34">
        <v>1</v>
      </c>
      <c r="W177" s="34">
        <v>1</v>
      </c>
      <c r="X177" s="34">
        <v>1</v>
      </c>
      <c r="Y177" s="34">
        <v>1</v>
      </c>
      <c r="Z177" s="34">
        <v>1</v>
      </c>
      <c r="AA177" s="86">
        <v>3</v>
      </c>
      <c r="AB177" s="25">
        <v>0</v>
      </c>
      <c r="AC177" s="26">
        <v>0</v>
      </c>
      <c r="AD177" s="26">
        <v>0</v>
      </c>
      <c r="AE177" s="26">
        <v>0</v>
      </c>
      <c r="AF177" s="26">
        <v>0</v>
      </c>
    </row>
    <row r="178" spans="1:32" ht="16.8" x14ac:dyDescent="0.3">
      <c r="A178" s="130"/>
      <c r="B178" s="73" t="s">
        <v>78</v>
      </c>
      <c r="C178" s="24" t="s">
        <v>68</v>
      </c>
      <c r="D178" s="63">
        <v>1</v>
      </c>
      <c r="E178" s="24"/>
      <c r="F178" s="82">
        <v>1</v>
      </c>
      <c r="G178" s="34">
        <v>1</v>
      </c>
      <c r="H178" s="34">
        <v>1</v>
      </c>
      <c r="I178" s="34">
        <v>1</v>
      </c>
      <c r="J178" s="34">
        <v>1</v>
      </c>
      <c r="K178" s="34">
        <v>1</v>
      </c>
      <c r="L178" s="34">
        <v>1</v>
      </c>
      <c r="M178" s="34">
        <v>1</v>
      </c>
      <c r="N178" s="34">
        <v>1</v>
      </c>
      <c r="O178" s="34">
        <v>1</v>
      </c>
      <c r="P178" s="34">
        <v>1</v>
      </c>
      <c r="Q178" s="34">
        <v>1</v>
      </c>
      <c r="R178" s="34">
        <v>1</v>
      </c>
      <c r="S178" s="34">
        <v>1</v>
      </c>
      <c r="T178" s="34">
        <v>1</v>
      </c>
      <c r="U178" s="34">
        <v>1</v>
      </c>
      <c r="V178" s="34">
        <v>1</v>
      </c>
      <c r="W178" s="34">
        <v>1</v>
      </c>
      <c r="X178" s="34">
        <v>1</v>
      </c>
      <c r="Y178" s="34">
        <v>1</v>
      </c>
      <c r="Z178" s="34">
        <v>1</v>
      </c>
      <c r="AA178" s="34">
        <v>1</v>
      </c>
      <c r="AB178" s="25">
        <v>0</v>
      </c>
      <c r="AC178" s="26">
        <v>0</v>
      </c>
      <c r="AD178" s="26">
        <v>0</v>
      </c>
      <c r="AE178" s="26">
        <v>0</v>
      </c>
      <c r="AF178" s="26">
        <v>0</v>
      </c>
    </row>
    <row r="179" spans="1:32" ht="16.8" x14ac:dyDescent="0.3">
      <c r="A179" s="130"/>
      <c r="B179" s="74" t="s">
        <v>79</v>
      </c>
      <c r="C179" s="24" t="s">
        <v>94</v>
      </c>
      <c r="D179" s="63">
        <v>3</v>
      </c>
      <c r="E179" s="24"/>
      <c r="F179" s="82">
        <v>1</v>
      </c>
      <c r="G179" s="34">
        <v>1</v>
      </c>
      <c r="H179" s="34">
        <v>1</v>
      </c>
      <c r="I179" s="34">
        <v>1</v>
      </c>
      <c r="J179" s="34">
        <v>1</v>
      </c>
      <c r="K179" s="34">
        <v>1</v>
      </c>
      <c r="L179" s="34">
        <v>1</v>
      </c>
      <c r="M179" s="34">
        <v>1</v>
      </c>
      <c r="N179" s="34">
        <v>1</v>
      </c>
      <c r="O179" s="34">
        <v>1</v>
      </c>
      <c r="P179" s="34">
        <v>1</v>
      </c>
      <c r="Q179" s="34">
        <v>1</v>
      </c>
      <c r="R179" s="34">
        <v>1</v>
      </c>
      <c r="S179" s="34">
        <v>1</v>
      </c>
      <c r="T179" s="34">
        <v>1</v>
      </c>
      <c r="U179" s="34">
        <v>1</v>
      </c>
      <c r="V179" s="34">
        <v>1</v>
      </c>
      <c r="W179" s="34">
        <v>1</v>
      </c>
      <c r="X179" s="34">
        <v>1</v>
      </c>
      <c r="Y179" s="34">
        <v>1</v>
      </c>
      <c r="Z179" s="34">
        <v>1</v>
      </c>
      <c r="AA179" s="86">
        <v>3</v>
      </c>
      <c r="AB179" s="25">
        <v>0</v>
      </c>
      <c r="AC179" s="26">
        <v>0</v>
      </c>
      <c r="AD179" s="26">
        <v>0</v>
      </c>
      <c r="AE179" s="26">
        <v>0</v>
      </c>
      <c r="AF179" s="26">
        <v>0</v>
      </c>
    </row>
    <row r="180" spans="1:32" ht="16.8" x14ac:dyDescent="0.3">
      <c r="A180" s="130"/>
      <c r="B180" s="75" t="s">
        <v>80</v>
      </c>
      <c r="C180" s="24" t="s">
        <v>95</v>
      </c>
      <c r="D180" s="63">
        <v>2</v>
      </c>
      <c r="E180" s="24"/>
      <c r="F180" s="82">
        <v>2</v>
      </c>
      <c r="G180" s="34">
        <v>2</v>
      </c>
      <c r="H180" s="34">
        <v>2</v>
      </c>
      <c r="I180" s="34">
        <v>2</v>
      </c>
      <c r="J180" s="34">
        <v>2</v>
      </c>
      <c r="K180" s="34">
        <v>2</v>
      </c>
      <c r="L180" s="34">
        <v>2</v>
      </c>
      <c r="M180" s="34">
        <v>2</v>
      </c>
      <c r="N180" s="34">
        <v>2</v>
      </c>
      <c r="O180" s="34">
        <v>2</v>
      </c>
      <c r="P180" s="34">
        <v>2</v>
      </c>
      <c r="Q180" s="34">
        <v>2</v>
      </c>
      <c r="R180" s="34">
        <v>2</v>
      </c>
      <c r="S180" s="34">
        <v>2</v>
      </c>
      <c r="T180" s="34">
        <v>2</v>
      </c>
      <c r="U180" s="34">
        <v>2</v>
      </c>
      <c r="V180" s="34">
        <v>2</v>
      </c>
      <c r="W180" s="34">
        <v>2</v>
      </c>
      <c r="X180" s="34">
        <v>2</v>
      </c>
      <c r="Y180" s="34">
        <v>2</v>
      </c>
      <c r="Z180" s="34">
        <v>2</v>
      </c>
      <c r="AA180" s="34">
        <v>2</v>
      </c>
      <c r="AB180" s="25">
        <v>0</v>
      </c>
      <c r="AC180" s="26">
        <v>0</v>
      </c>
      <c r="AD180" s="26">
        <v>0</v>
      </c>
      <c r="AE180" s="26">
        <v>0</v>
      </c>
      <c r="AF180" s="26">
        <v>0</v>
      </c>
    </row>
    <row r="181" spans="1:32" ht="16.8" x14ac:dyDescent="0.3">
      <c r="A181" s="130"/>
      <c r="B181" s="74" t="s">
        <v>81</v>
      </c>
      <c r="C181" s="24" t="s">
        <v>96</v>
      </c>
      <c r="D181" s="63">
        <v>1</v>
      </c>
      <c r="E181" s="24"/>
      <c r="F181" s="82">
        <v>1</v>
      </c>
      <c r="G181" s="34">
        <v>1</v>
      </c>
      <c r="H181" s="34">
        <v>1</v>
      </c>
      <c r="I181" s="34">
        <v>1</v>
      </c>
      <c r="J181" s="34">
        <v>1</v>
      </c>
      <c r="K181" s="34">
        <v>1</v>
      </c>
      <c r="L181" s="34">
        <v>1</v>
      </c>
      <c r="M181" s="34">
        <v>1</v>
      </c>
      <c r="N181" s="34">
        <v>1</v>
      </c>
      <c r="O181" s="34">
        <v>1</v>
      </c>
      <c r="P181" s="34">
        <v>1</v>
      </c>
      <c r="Q181" s="34">
        <v>1</v>
      </c>
      <c r="R181" s="34">
        <v>1</v>
      </c>
      <c r="S181" s="34">
        <v>1</v>
      </c>
      <c r="T181" s="34">
        <v>1</v>
      </c>
      <c r="U181" s="34">
        <v>1</v>
      </c>
      <c r="V181" s="34">
        <v>1</v>
      </c>
      <c r="W181" s="34">
        <v>1</v>
      </c>
      <c r="X181" s="34">
        <v>1</v>
      </c>
      <c r="Y181" s="34">
        <v>1</v>
      </c>
      <c r="Z181" s="34">
        <v>1</v>
      </c>
      <c r="AA181" s="34">
        <v>1</v>
      </c>
      <c r="AB181" s="25">
        <v>0</v>
      </c>
      <c r="AC181" s="26">
        <v>0</v>
      </c>
      <c r="AD181" s="26">
        <v>0</v>
      </c>
      <c r="AE181" s="26">
        <v>0</v>
      </c>
      <c r="AF181" s="26">
        <v>0</v>
      </c>
    </row>
    <row r="182" spans="1:32" ht="16.8" x14ac:dyDescent="0.3">
      <c r="A182" s="130"/>
      <c r="B182" s="74" t="s">
        <v>82</v>
      </c>
      <c r="C182" s="24" t="s">
        <v>64</v>
      </c>
      <c r="D182" s="63">
        <v>1</v>
      </c>
      <c r="E182" s="24"/>
      <c r="F182" s="82">
        <v>1</v>
      </c>
      <c r="G182" s="34">
        <v>1</v>
      </c>
      <c r="H182" s="34">
        <v>1</v>
      </c>
      <c r="I182" s="34">
        <v>1</v>
      </c>
      <c r="J182" s="34">
        <v>1</v>
      </c>
      <c r="K182" s="34">
        <v>1</v>
      </c>
      <c r="L182" s="34">
        <v>1</v>
      </c>
      <c r="M182" s="34">
        <v>1</v>
      </c>
      <c r="N182" s="34">
        <v>1</v>
      </c>
      <c r="O182" s="34">
        <v>1</v>
      </c>
      <c r="P182" s="34">
        <v>1</v>
      </c>
      <c r="Q182" s="34">
        <v>1</v>
      </c>
      <c r="R182" s="34">
        <v>1</v>
      </c>
      <c r="S182" s="34">
        <v>1</v>
      </c>
      <c r="T182" s="34">
        <v>1</v>
      </c>
      <c r="U182" s="34">
        <v>1</v>
      </c>
      <c r="V182" s="34">
        <v>1</v>
      </c>
      <c r="W182" s="34">
        <v>1</v>
      </c>
      <c r="X182" s="34">
        <v>1</v>
      </c>
      <c r="Y182" s="34">
        <v>1</v>
      </c>
      <c r="Z182" s="34">
        <v>1</v>
      </c>
      <c r="AA182" s="34">
        <v>1</v>
      </c>
      <c r="AB182" s="25">
        <v>0</v>
      </c>
      <c r="AC182" s="26">
        <v>0</v>
      </c>
      <c r="AD182" s="26">
        <v>0</v>
      </c>
      <c r="AE182" s="26">
        <v>0</v>
      </c>
      <c r="AF182" s="26">
        <v>0</v>
      </c>
    </row>
    <row r="183" spans="1:32" ht="16.8" x14ac:dyDescent="0.3">
      <c r="A183" s="130"/>
      <c r="B183" s="76" t="s">
        <v>83</v>
      </c>
      <c r="C183" s="24" t="s">
        <v>97</v>
      </c>
      <c r="D183" s="63">
        <v>2</v>
      </c>
      <c r="E183" s="24"/>
      <c r="F183" s="82">
        <v>1</v>
      </c>
      <c r="G183" s="34">
        <v>1</v>
      </c>
      <c r="H183" s="34">
        <v>1</v>
      </c>
      <c r="I183" s="34">
        <v>1</v>
      </c>
      <c r="J183" s="34">
        <v>1</v>
      </c>
      <c r="K183" s="34">
        <v>1</v>
      </c>
      <c r="L183" s="34">
        <v>1</v>
      </c>
      <c r="M183" s="34">
        <v>1</v>
      </c>
      <c r="N183" s="34">
        <v>1</v>
      </c>
      <c r="O183" s="34">
        <v>1</v>
      </c>
      <c r="P183" s="34">
        <v>1</v>
      </c>
      <c r="Q183" s="34">
        <v>1</v>
      </c>
      <c r="R183" s="34">
        <v>1</v>
      </c>
      <c r="S183" s="34">
        <v>1</v>
      </c>
      <c r="T183" s="34">
        <v>1</v>
      </c>
      <c r="U183" s="34">
        <v>1</v>
      </c>
      <c r="V183" s="34">
        <v>1</v>
      </c>
      <c r="W183" s="34">
        <v>1</v>
      </c>
      <c r="X183" s="34">
        <v>1</v>
      </c>
      <c r="Y183" s="34">
        <v>1</v>
      </c>
      <c r="Z183" s="34">
        <v>1</v>
      </c>
      <c r="AA183" s="34">
        <v>1</v>
      </c>
      <c r="AB183" s="86">
        <v>2</v>
      </c>
      <c r="AC183" s="25">
        <v>0</v>
      </c>
      <c r="AD183" s="26">
        <v>0</v>
      </c>
      <c r="AE183" s="26">
        <v>0</v>
      </c>
      <c r="AF183" s="26">
        <v>0</v>
      </c>
    </row>
    <row r="184" spans="1:32" ht="16.8" x14ac:dyDescent="0.3">
      <c r="A184" s="130"/>
      <c r="B184" s="76" t="s">
        <v>84</v>
      </c>
      <c r="C184" s="24" t="s">
        <v>98</v>
      </c>
      <c r="D184" s="63">
        <v>2</v>
      </c>
      <c r="E184" s="24"/>
      <c r="F184" s="82">
        <v>2</v>
      </c>
      <c r="G184" s="34">
        <v>2</v>
      </c>
      <c r="H184" s="34">
        <v>2</v>
      </c>
      <c r="I184" s="34">
        <v>2</v>
      </c>
      <c r="J184" s="34">
        <v>2</v>
      </c>
      <c r="K184" s="34">
        <v>2</v>
      </c>
      <c r="L184" s="34">
        <v>2</v>
      </c>
      <c r="M184" s="34">
        <v>2</v>
      </c>
      <c r="N184" s="34">
        <v>2</v>
      </c>
      <c r="O184" s="34">
        <v>2</v>
      </c>
      <c r="P184" s="34">
        <v>2</v>
      </c>
      <c r="Q184" s="34">
        <v>2</v>
      </c>
      <c r="R184" s="34">
        <v>2</v>
      </c>
      <c r="S184" s="34">
        <v>2</v>
      </c>
      <c r="T184" s="34">
        <v>2</v>
      </c>
      <c r="U184" s="34">
        <v>2</v>
      </c>
      <c r="V184" s="34">
        <v>2</v>
      </c>
      <c r="W184" s="34">
        <v>2</v>
      </c>
      <c r="X184" s="34">
        <v>2</v>
      </c>
      <c r="Y184" s="34">
        <v>2</v>
      </c>
      <c r="Z184" s="34">
        <v>2</v>
      </c>
      <c r="AA184" s="34">
        <v>2</v>
      </c>
      <c r="AB184" s="34">
        <v>2</v>
      </c>
      <c r="AC184" s="25">
        <v>0</v>
      </c>
      <c r="AD184" s="26">
        <v>0</v>
      </c>
      <c r="AE184" s="26">
        <v>0</v>
      </c>
      <c r="AF184" s="26">
        <v>0</v>
      </c>
    </row>
    <row r="185" spans="1:32" ht="33.6" x14ac:dyDescent="0.3">
      <c r="A185" s="130"/>
      <c r="B185" s="76" t="s">
        <v>85</v>
      </c>
      <c r="C185" s="24" t="s">
        <v>99</v>
      </c>
      <c r="D185" s="63">
        <v>2</v>
      </c>
      <c r="E185" s="24"/>
      <c r="F185" s="82">
        <v>2</v>
      </c>
      <c r="G185" s="34">
        <v>2</v>
      </c>
      <c r="H185" s="34">
        <v>2</v>
      </c>
      <c r="I185" s="34">
        <v>2</v>
      </c>
      <c r="J185" s="34">
        <v>2</v>
      </c>
      <c r="K185" s="34">
        <v>2</v>
      </c>
      <c r="L185" s="34">
        <v>2</v>
      </c>
      <c r="M185" s="34">
        <v>2</v>
      </c>
      <c r="N185" s="34">
        <v>2</v>
      </c>
      <c r="O185" s="34">
        <v>2</v>
      </c>
      <c r="P185" s="34">
        <v>2</v>
      </c>
      <c r="Q185" s="34">
        <v>2</v>
      </c>
      <c r="R185" s="34">
        <v>2</v>
      </c>
      <c r="S185" s="34">
        <v>2</v>
      </c>
      <c r="T185" s="34">
        <v>2</v>
      </c>
      <c r="U185" s="34">
        <v>2</v>
      </c>
      <c r="V185" s="34">
        <v>2</v>
      </c>
      <c r="W185" s="34">
        <v>2</v>
      </c>
      <c r="X185" s="34">
        <v>2</v>
      </c>
      <c r="Y185" s="34">
        <v>2</v>
      </c>
      <c r="Z185" s="34">
        <v>2</v>
      </c>
      <c r="AA185" s="34">
        <v>2</v>
      </c>
      <c r="AB185" s="34">
        <v>2</v>
      </c>
      <c r="AC185" s="25">
        <v>0</v>
      </c>
      <c r="AD185" s="26">
        <v>0</v>
      </c>
      <c r="AE185" s="26">
        <v>0</v>
      </c>
      <c r="AF185" s="26">
        <v>0</v>
      </c>
    </row>
    <row r="186" spans="1:32" ht="16.8" x14ac:dyDescent="0.3">
      <c r="A186" s="130"/>
      <c r="B186" s="76" t="s">
        <v>86</v>
      </c>
      <c r="C186" s="24" t="s">
        <v>100</v>
      </c>
      <c r="D186" s="63">
        <v>2</v>
      </c>
      <c r="E186" s="24"/>
      <c r="F186" s="82">
        <v>2</v>
      </c>
      <c r="G186" s="34">
        <v>2</v>
      </c>
      <c r="H186" s="34">
        <v>2</v>
      </c>
      <c r="I186" s="34">
        <v>2</v>
      </c>
      <c r="J186" s="34">
        <v>2</v>
      </c>
      <c r="K186" s="34">
        <v>2</v>
      </c>
      <c r="L186" s="34">
        <v>2</v>
      </c>
      <c r="M186" s="34">
        <v>2</v>
      </c>
      <c r="N186" s="34">
        <v>2</v>
      </c>
      <c r="O186" s="34">
        <v>2</v>
      </c>
      <c r="P186" s="34">
        <v>2</v>
      </c>
      <c r="Q186" s="34">
        <v>2</v>
      </c>
      <c r="R186" s="34">
        <v>2</v>
      </c>
      <c r="S186" s="34">
        <v>2</v>
      </c>
      <c r="T186" s="34">
        <v>2</v>
      </c>
      <c r="U186" s="34">
        <v>2</v>
      </c>
      <c r="V186" s="34">
        <v>2</v>
      </c>
      <c r="W186" s="31">
        <v>2</v>
      </c>
      <c r="X186" s="31">
        <v>2</v>
      </c>
      <c r="Y186" s="30">
        <v>2</v>
      </c>
      <c r="Z186" s="26">
        <v>2</v>
      </c>
      <c r="AA186" s="26">
        <v>2</v>
      </c>
      <c r="AB186" s="26">
        <v>2</v>
      </c>
      <c r="AC186" s="25">
        <v>0</v>
      </c>
      <c r="AD186" s="26">
        <v>0</v>
      </c>
      <c r="AE186" s="26">
        <v>0</v>
      </c>
      <c r="AF186" s="26">
        <v>0</v>
      </c>
    </row>
    <row r="187" spans="1:32" ht="16.8" x14ac:dyDescent="0.3">
      <c r="A187" s="130"/>
      <c r="B187" s="76" t="s">
        <v>87</v>
      </c>
      <c r="C187" s="24" t="s">
        <v>101</v>
      </c>
      <c r="D187" s="63">
        <v>2</v>
      </c>
      <c r="E187" s="24"/>
      <c r="F187" s="82">
        <v>2</v>
      </c>
      <c r="G187" s="34">
        <v>2</v>
      </c>
      <c r="H187" s="34">
        <v>2</v>
      </c>
      <c r="I187" s="34">
        <v>2</v>
      </c>
      <c r="J187" s="34">
        <v>2</v>
      </c>
      <c r="K187" s="34">
        <v>2</v>
      </c>
      <c r="L187" s="34">
        <v>2</v>
      </c>
      <c r="M187" s="34">
        <v>2</v>
      </c>
      <c r="N187" s="34">
        <v>2</v>
      </c>
      <c r="O187" s="34">
        <v>2</v>
      </c>
      <c r="P187" s="34">
        <v>2</v>
      </c>
      <c r="Q187" s="34">
        <v>2</v>
      </c>
      <c r="R187" s="34">
        <v>2</v>
      </c>
      <c r="S187" s="34">
        <v>2</v>
      </c>
      <c r="T187" s="34">
        <v>2</v>
      </c>
      <c r="U187" s="34">
        <v>2</v>
      </c>
      <c r="V187" s="34">
        <v>2</v>
      </c>
      <c r="W187" s="31">
        <v>2</v>
      </c>
      <c r="X187" s="31">
        <v>2</v>
      </c>
      <c r="Y187" s="31">
        <v>2</v>
      </c>
      <c r="Z187" s="30">
        <v>2</v>
      </c>
      <c r="AA187" s="26">
        <v>2</v>
      </c>
      <c r="AB187" s="26">
        <v>2</v>
      </c>
      <c r="AC187" s="25">
        <v>0</v>
      </c>
      <c r="AD187" s="26">
        <v>0</v>
      </c>
      <c r="AE187" s="26">
        <v>0</v>
      </c>
      <c r="AF187" s="26">
        <v>0</v>
      </c>
    </row>
    <row r="188" spans="1:32" ht="16.8" x14ac:dyDescent="0.3">
      <c r="A188" s="130"/>
      <c r="B188" s="76" t="s">
        <v>88</v>
      </c>
      <c r="C188" s="24" t="s">
        <v>102</v>
      </c>
      <c r="D188" s="63">
        <v>2</v>
      </c>
      <c r="E188" s="24"/>
      <c r="F188" s="82">
        <v>2</v>
      </c>
      <c r="G188" s="34">
        <v>2</v>
      </c>
      <c r="H188" s="34">
        <v>2</v>
      </c>
      <c r="I188" s="34">
        <v>2</v>
      </c>
      <c r="J188" s="34">
        <v>2</v>
      </c>
      <c r="K188" s="34">
        <v>2</v>
      </c>
      <c r="L188" s="34">
        <v>2</v>
      </c>
      <c r="M188" s="34">
        <v>2</v>
      </c>
      <c r="N188" s="34">
        <v>2</v>
      </c>
      <c r="O188" s="34">
        <v>2</v>
      </c>
      <c r="P188" s="34">
        <v>2</v>
      </c>
      <c r="Q188" s="34">
        <v>2</v>
      </c>
      <c r="R188" s="34">
        <v>2</v>
      </c>
      <c r="S188" s="34">
        <v>2</v>
      </c>
      <c r="T188" s="34">
        <v>2</v>
      </c>
      <c r="U188" s="34">
        <v>2</v>
      </c>
      <c r="V188" s="34">
        <v>2</v>
      </c>
      <c r="W188" s="34">
        <v>2</v>
      </c>
      <c r="X188" s="34">
        <v>2</v>
      </c>
      <c r="Y188" s="34">
        <v>2</v>
      </c>
      <c r="Z188" s="34">
        <v>2</v>
      </c>
      <c r="AA188" s="34">
        <v>2</v>
      </c>
      <c r="AB188" s="26">
        <v>2</v>
      </c>
      <c r="AC188" s="25">
        <v>0</v>
      </c>
      <c r="AD188" s="26">
        <v>0</v>
      </c>
      <c r="AE188" s="26">
        <v>0</v>
      </c>
      <c r="AF188" s="26">
        <v>0</v>
      </c>
    </row>
    <row r="189" spans="1:32" ht="16.8" x14ac:dyDescent="0.3">
      <c r="A189" s="130"/>
      <c r="B189" s="76" t="s">
        <v>107</v>
      </c>
      <c r="C189" s="24" t="s">
        <v>101</v>
      </c>
      <c r="D189" s="24">
        <v>2</v>
      </c>
      <c r="F189" s="24">
        <v>2</v>
      </c>
      <c r="G189" s="24">
        <v>2</v>
      </c>
      <c r="H189" s="24">
        <v>2</v>
      </c>
      <c r="I189" s="24">
        <v>2</v>
      </c>
      <c r="J189" s="24">
        <v>2</v>
      </c>
      <c r="K189" s="24">
        <v>2</v>
      </c>
      <c r="L189" s="24">
        <v>2</v>
      </c>
      <c r="M189" s="24">
        <v>2</v>
      </c>
      <c r="N189" s="24">
        <v>2</v>
      </c>
      <c r="O189" s="24">
        <v>2</v>
      </c>
      <c r="P189" s="24">
        <v>2</v>
      </c>
      <c r="Q189" s="24">
        <v>2</v>
      </c>
      <c r="R189" s="24">
        <v>2</v>
      </c>
      <c r="S189" s="24">
        <v>2</v>
      </c>
      <c r="T189" s="24">
        <v>2</v>
      </c>
      <c r="U189" s="24">
        <v>2</v>
      </c>
      <c r="V189" s="24">
        <v>2</v>
      </c>
      <c r="W189" s="24">
        <v>2</v>
      </c>
      <c r="X189" s="24">
        <v>2</v>
      </c>
      <c r="Y189" s="24">
        <v>2</v>
      </c>
      <c r="Z189" s="24">
        <v>2</v>
      </c>
      <c r="AA189" s="24">
        <v>2</v>
      </c>
      <c r="AB189" s="24">
        <v>2</v>
      </c>
      <c r="AC189" s="25">
        <v>0</v>
      </c>
      <c r="AD189" s="26">
        <v>0</v>
      </c>
      <c r="AE189" s="26">
        <v>0</v>
      </c>
      <c r="AF189" s="26">
        <v>0</v>
      </c>
    </row>
    <row r="190" spans="1:32" ht="16.8" x14ac:dyDescent="0.3">
      <c r="A190" s="130"/>
      <c r="B190" s="76" t="s">
        <v>108</v>
      </c>
      <c r="C190" s="24" t="s">
        <v>102</v>
      </c>
      <c r="D190" s="24">
        <v>2</v>
      </c>
      <c r="F190" s="24">
        <v>2</v>
      </c>
      <c r="G190" s="24">
        <v>2</v>
      </c>
      <c r="H190" s="24">
        <v>2</v>
      </c>
      <c r="I190" s="24">
        <v>2</v>
      </c>
      <c r="J190" s="24">
        <v>2</v>
      </c>
      <c r="K190" s="24">
        <v>2</v>
      </c>
      <c r="L190" s="24">
        <v>2</v>
      </c>
      <c r="M190" s="24">
        <v>2</v>
      </c>
      <c r="N190" s="24">
        <v>2</v>
      </c>
      <c r="O190" s="24">
        <v>2</v>
      </c>
      <c r="P190" s="24">
        <v>2</v>
      </c>
      <c r="Q190" s="24">
        <v>2</v>
      </c>
      <c r="R190" s="24">
        <v>2</v>
      </c>
      <c r="S190" s="24">
        <v>2</v>
      </c>
      <c r="T190" s="24">
        <v>2</v>
      </c>
      <c r="U190" s="24">
        <v>2</v>
      </c>
      <c r="V190" s="24">
        <v>2</v>
      </c>
      <c r="W190" s="24">
        <v>2</v>
      </c>
      <c r="X190" s="24">
        <v>2</v>
      </c>
      <c r="Y190" s="24">
        <v>2</v>
      </c>
      <c r="Z190" s="24">
        <v>2</v>
      </c>
      <c r="AA190" s="24">
        <v>2</v>
      </c>
      <c r="AB190" s="24">
        <v>2</v>
      </c>
      <c r="AC190" s="25">
        <v>0</v>
      </c>
      <c r="AD190" s="26">
        <v>0</v>
      </c>
      <c r="AE190" s="26">
        <v>0</v>
      </c>
      <c r="AF190" s="26">
        <v>0</v>
      </c>
    </row>
    <row r="191" spans="1:32" ht="16.8" x14ac:dyDescent="0.3">
      <c r="A191" s="130" t="s">
        <v>37</v>
      </c>
      <c r="B191" s="73" t="s">
        <v>77</v>
      </c>
      <c r="C191" s="24" t="s">
        <v>61</v>
      </c>
      <c r="D191" s="63">
        <v>1</v>
      </c>
      <c r="E191" s="24"/>
      <c r="F191" s="82">
        <v>1</v>
      </c>
      <c r="G191" s="34">
        <v>1</v>
      </c>
      <c r="H191" s="34">
        <v>1</v>
      </c>
      <c r="I191" s="34">
        <v>1</v>
      </c>
      <c r="J191" s="34">
        <v>1</v>
      </c>
      <c r="K191" s="34">
        <v>1</v>
      </c>
      <c r="L191" s="34">
        <v>1</v>
      </c>
      <c r="M191" s="34">
        <v>1</v>
      </c>
      <c r="N191" s="34">
        <v>1</v>
      </c>
      <c r="O191" s="34">
        <v>1</v>
      </c>
      <c r="P191" s="34">
        <v>1</v>
      </c>
      <c r="Q191" s="34">
        <v>1</v>
      </c>
      <c r="R191" s="34">
        <v>1</v>
      </c>
      <c r="S191" s="34">
        <v>1</v>
      </c>
      <c r="T191" s="34">
        <v>1</v>
      </c>
      <c r="U191" s="34">
        <v>1</v>
      </c>
      <c r="V191" s="34">
        <v>1</v>
      </c>
      <c r="W191" s="34">
        <v>1</v>
      </c>
      <c r="X191" s="34">
        <v>1</v>
      </c>
      <c r="Y191" s="34">
        <v>1</v>
      </c>
      <c r="Z191" s="34">
        <v>1</v>
      </c>
      <c r="AA191" s="34">
        <v>1</v>
      </c>
      <c r="AB191" s="34">
        <v>1</v>
      </c>
      <c r="AC191" s="34">
        <v>1</v>
      </c>
      <c r="AD191" s="25">
        <v>0</v>
      </c>
      <c r="AE191" s="26">
        <v>0</v>
      </c>
      <c r="AF191" s="26">
        <v>0</v>
      </c>
    </row>
    <row r="192" spans="1:32" ht="16.8" x14ac:dyDescent="0.3">
      <c r="A192" s="130"/>
      <c r="B192" s="73" t="s">
        <v>78</v>
      </c>
      <c r="C192" s="51" t="s">
        <v>46</v>
      </c>
      <c r="D192" s="63">
        <v>1</v>
      </c>
      <c r="E192" s="24"/>
      <c r="F192" s="24">
        <v>2</v>
      </c>
      <c r="G192" s="24">
        <v>2</v>
      </c>
      <c r="H192" s="24">
        <v>2</v>
      </c>
      <c r="I192" s="24">
        <v>2</v>
      </c>
      <c r="J192" s="24">
        <v>2</v>
      </c>
      <c r="K192" s="24">
        <v>2</v>
      </c>
      <c r="L192" s="24">
        <v>2</v>
      </c>
      <c r="M192" s="24">
        <v>2</v>
      </c>
      <c r="N192" s="24">
        <v>2</v>
      </c>
      <c r="O192" s="24">
        <v>2</v>
      </c>
      <c r="P192" s="24">
        <v>2</v>
      </c>
      <c r="Q192" s="24">
        <v>2</v>
      </c>
      <c r="R192" s="24">
        <v>2</v>
      </c>
      <c r="S192" s="24">
        <v>2</v>
      </c>
      <c r="T192" s="24">
        <v>2</v>
      </c>
      <c r="U192" s="24">
        <v>2</v>
      </c>
      <c r="V192" s="24">
        <v>2</v>
      </c>
      <c r="W192" s="24">
        <v>2</v>
      </c>
      <c r="X192" s="24">
        <v>2</v>
      </c>
      <c r="Y192" s="24">
        <v>2</v>
      </c>
      <c r="Z192" s="24">
        <v>2</v>
      </c>
      <c r="AA192" s="24">
        <v>2</v>
      </c>
      <c r="AB192" s="24">
        <v>2</v>
      </c>
      <c r="AC192" s="85">
        <v>1</v>
      </c>
      <c r="AD192" s="25">
        <v>0</v>
      </c>
      <c r="AE192" s="26">
        <v>0</v>
      </c>
      <c r="AF192" s="26">
        <v>0</v>
      </c>
    </row>
    <row r="193" spans="1:32" ht="16.8" x14ac:dyDescent="0.3">
      <c r="A193" s="130"/>
      <c r="B193" s="74" t="s">
        <v>79</v>
      </c>
      <c r="C193" s="51" t="s">
        <v>42</v>
      </c>
      <c r="D193" s="63">
        <v>1</v>
      </c>
      <c r="E193" s="24"/>
      <c r="F193" s="82">
        <v>1</v>
      </c>
      <c r="G193" s="34">
        <v>1</v>
      </c>
      <c r="H193" s="34">
        <v>1</v>
      </c>
      <c r="I193" s="34">
        <v>1</v>
      </c>
      <c r="J193" s="34">
        <v>1</v>
      </c>
      <c r="K193" s="34">
        <v>1</v>
      </c>
      <c r="L193" s="34">
        <v>1</v>
      </c>
      <c r="M193" s="34">
        <v>1</v>
      </c>
      <c r="N193" s="34">
        <v>1</v>
      </c>
      <c r="O193" s="34">
        <v>1</v>
      </c>
      <c r="P193" s="34">
        <v>1</v>
      </c>
      <c r="Q193" s="34">
        <v>1</v>
      </c>
      <c r="R193" s="34">
        <v>1</v>
      </c>
      <c r="S193" s="34">
        <v>1</v>
      </c>
      <c r="T193" s="34">
        <v>1</v>
      </c>
      <c r="U193" s="34">
        <v>1</v>
      </c>
      <c r="V193" s="34">
        <v>1</v>
      </c>
      <c r="W193" s="34">
        <v>1</v>
      </c>
      <c r="X193" s="34">
        <v>1</v>
      </c>
      <c r="Y193" s="31">
        <v>1</v>
      </c>
      <c r="Z193" s="31">
        <v>1</v>
      </c>
      <c r="AA193" s="30">
        <v>1</v>
      </c>
      <c r="AB193" s="26">
        <v>1</v>
      </c>
      <c r="AC193" s="34">
        <v>1</v>
      </c>
      <c r="AD193" s="25">
        <v>0</v>
      </c>
      <c r="AE193" s="26">
        <v>0</v>
      </c>
      <c r="AF193" s="26">
        <v>0</v>
      </c>
    </row>
    <row r="194" spans="1:32" ht="16.8" x14ac:dyDescent="0.3">
      <c r="A194" s="130"/>
      <c r="B194" s="75" t="s">
        <v>80</v>
      </c>
      <c r="C194" s="51" t="s">
        <v>40</v>
      </c>
      <c r="D194" s="63">
        <v>1</v>
      </c>
      <c r="E194" s="24"/>
      <c r="F194" s="24">
        <v>2</v>
      </c>
      <c r="G194" s="24">
        <v>2</v>
      </c>
      <c r="H194" s="24">
        <v>2</v>
      </c>
      <c r="I194" s="24">
        <v>2</v>
      </c>
      <c r="J194" s="24">
        <v>2</v>
      </c>
      <c r="K194" s="24">
        <v>2</v>
      </c>
      <c r="L194" s="24">
        <v>2</v>
      </c>
      <c r="M194" s="24">
        <v>2</v>
      </c>
      <c r="N194" s="24">
        <v>2</v>
      </c>
      <c r="O194" s="24">
        <v>2</v>
      </c>
      <c r="P194" s="24">
        <v>2</v>
      </c>
      <c r="Q194" s="24">
        <v>2</v>
      </c>
      <c r="R194" s="24">
        <v>2</v>
      </c>
      <c r="S194" s="24">
        <v>2</v>
      </c>
      <c r="T194" s="24">
        <v>2</v>
      </c>
      <c r="U194" s="24">
        <v>2</v>
      </c>
      <c r="V194" s="24">
        <v>2</v>
      </c>
      <c r="W194" s="24">
        <v>2</v>
      </c>
      <c r="X194" s="24">
        <v>2</v>
      </c>
      <c r="Y194" s="24">
        <v>2</v>
      </c>
      <c r="Z194" s="24">
        <v>2</v>
      </c>
      <c r="AA194" s="24">
        <v>2</v>
      </c>
      <c r="AB194" s="24">
        <v>2</v>
      </c>
      <c r="AC194" s="85">
        <v>1</v>
      </c>
      <c r="AD194" s="25">
        <v>0</v>
      </c>
      <c r="AE194" s="26">
        <v>0</v>
      </c>
      <c r="AF194" s="26">
        <v>0</v>
      </c>
    </row>
    <row r="195" spans="1:32" ht="16.8" x14ac:dyDescent="0.3">
      <c r="A195" s="130"/>
      <c r="B195" s="74" t="s">
        <v>81</v>
      </c>
      <c r="C195" s="51" t="s">
        <v>46</v>
      </c>
      <c r="D195" s="63">
        <v>1</v>
      </c>
      <c r="E195" s="24"/>
      <c r="F195" s="82">
        <v>1</v>
      </c>
      <c r="G195" s="34">
        <v>1</v>
      </c>
      <c r="H195" s="34">
        <v>1</v>
      </c>
      <c r="I195" s="34">
        <v>1</v>
      </c>
      <c r="J195" s="34">
        <v>1</v>
      </c>
      <c r="K195" s="34">
        <v>1</v>
      </c>
      <c r="L195" s="34">
        <v>1</v>
      </c>
      <c r="M195" s="34">
        <v>1</v>
      </c>
      <c r="N195" s="34">
        <v>1</v>
      </c>
      <c r="O195" s="34">
        <v>1</v>
      </c>
      <c r="P195" s="34">
        <v>1</v>
      </c>
      <c r="Q195" s="34">
        <v>1</v>
      </c>
      <c r="R195" s="34">
        <v>1</v>
      </c>
      <c r="S195" s="34">
        <v>1</v>
      </c>
      <c r="T195" s="34">
        <v>1</v>
      </c>
      <c r="U195" s="34">
        <v>1</v>
      </c>
      <c r="V195" s="34">
        <v>1</v>
      </c>
      <c r="W195" s="34">
        <v>1</v>
      </c>
      <c r="X195" s="34">
        <v>1</v>
      </c>
      <c r="Y195" s="34">
        <v>1</v>
      </c>
      <c r="Z195" s="31">
        <v>1</v>
      </c>
      <c r="AA195" s="31">
        <v>1</v>
      </c>
      <c r="AB195" s="26">
        <v>1</v>
      </c>
      <c r="AC195" s="34">
        <v>1</v>
      </c>
      <c r="AD195" s="25">
        <v>0</v>
      </c>
      <c r="AE195" s="39">
        <v>0</v>
      </c>
      <c r="AF195" s="26">
        <v>0</v>
      </c>
    </row>
    <row r="196" spans="1:32" ht="16.8" x14ac:dyDescent="0.3">
      <c r="A196" s="130"/>
      <c r="B196" s="74" t="s">
        <v>82</v>
      </c>
      <c r="C196" s="51" t="s">
        <v>44</v>
      </c>
      <c r="D196" s="63">
        <v>1</v>
      </c>
      <c r="E196" s="24"/>
      <c r="F196" s="82">
        <v>1</v>
      </c>
      <c r="G196" s="34">
        <v>1</v>
      </c>
      <c r="H196" s="34">
        <v>1</v>
      </c>
      <c r="I196" s="34">
        <v>1</v>
      </c>
      <c r="J196" s="34">
        <v>1</v>
      </c>
      <c r="K196" s="34">
        <v>1</v>
      </c>
      <c r="L196" s="34">
        <v>1</v>
      </c>
      <c r="M196" s="34">
        <v>1</v>
      </c>
      <c r="N196" s="34">
        <v>1</v>
      </c>
      <c r="O196" s="34">
        <v>1</v>
      </c>
      <c r="P196" s="34">
        <v>1</v>
      </c>
      <c r="Q196" s="34">
        <v>1</v>
      </c>
      <c r="R196" s="34">
        <v>1</v>
      </c>
      <c r="S196" s="34">
        <v>1</v>
      </c>
      <c r="T196" s="34">
        <v>1</v>
      </c>
      <c r="U196" s="34">
        <v>1</v>
      </c>
      <c r="V196" s="34">
        <v>1</v>
      </c>
      <c r="W196" s="34">
        <v>1</v>
      </c>
      <c r="X196" s="34">
        <v>1</v>
      </c>
      <c r="Y196" s="34">
        <v>1</v>
      </c>
      <c r="Z196" s="31">
        <v>1</v>
      </c>
      <c r="AA196" s="31">
        <v>1</v>
      </c>
      <c r="AB196" s="26">
        <v>1</v>
      </c>
      <c r="AC196" s="34">
        <v>1</v>
      </c>
      <c r="AD196" s="25">
        <v>0</v>
      </c>
      <c r="AE196" s="26">
        <v>0</v>
      </c>
      <c r="AF196" s="26">
        <v>0</v>
      </c>
    </row>
    <row r="197" spans="1:32" ht="16.8" x14ac:dyDescent="0.3">
      <c r="A197" s="130"/>
      <c r="B197" s="76" t="s">
        <v>83</v>
      </c>
      <c r="C197" s="51" t="s">
        <v>41</v>
      </c>
      <c r="D197" s="63">
        <v>1</v>
      </c>
      <c r="E197" s="24"/>
      <c r="F197" s="82">
        <v>1</v>
      </c>
      <c r="G197" s="34">
        <v>1</v>
      </c>
      <c r="H197" s="34">
        <v>1</v>
      </c>
      <c r="I197" s="34">
        <v>1</v>
      </c>
      <c r="J197" s="34">
        <v>1</v>
      </c>
      <c r="K197" s="34">
        <v>1</v>
      </c>
      <c r="L197" s="34">
        <v>1</v>
      </c>
      <c r="M197" s="34">
        <v>1</v>
      </c>
      <c r="N197" s="34">
        <v>1</v>
      </c>
      <c r="O197" s="34">
        <v>1</v>
      </c>
      <c r="P197" s="34">
        <v>1</v>
      </c>
      <c r="Q197" s="34">
        <v>1</v>
      </c>
      <c r="R197" s="34">
        <v>1</v>
      </c>
      <c r="S197" s="34">
        <v>1</v>
      </c>
      <c r="T197" s="34">
        <v>1</v>
      </c>
      <c r="U197" s="34">
        <v>1</v>
      </c>
      <c r="V197" s="34">
        <v>1</v>
      </c>
      <c r="W197" s="34">
        <v>1</v>
      </c>
      <c r="X197" s="34">
        <v>1</v>
      </c>
      <c r="Y197" s="34">
        <v>1</v>
      </c>
      <c r="Z197" s="31">
        <v>1</v>
      </c>
      <c r="AA197" s="31">
        <v>1</v>
      </c>
      <c r="AB197" s="30">
        <v>1</v>
      </c>
      <c r="AC197" s="30">
        <v>1</v>
      </c>
      <c r="AD197" s="30">
        <v>1</v>
      </c>
      <c r="AE197" s="25">
        <v>0</v>
      </c>
      <c r="AF197" s="26">
        <v>0</v>
      </c>
    </row>
    <row r="198" spans="1:32" ht="16.8" x14ac:dyDescent="0.3">
      <c r="A198" s="130"/>
      <c r="B198" s="76" t="s">
        <v>84</v>
      </c>
      <c r="C198" s="51" t="s">
        <v>42</v>
      </c>
      <c r="D198" s="63">
        <v>1</v>
      </c>
      <c r="E198" s="24"/>
      <c r="F198" s="82">
        <v>1</v>
      </c>
      <c r="G198" s="34">
        <v>1</v>
      </c>
      <c r="H198" s="34">
        <v>1</v>
      </c>
      <c r="I198" s="34">
        <v>1</v>
      </c>
      <c r="J198" s="34">
        <v>1</v>
      </c>
      <c r="K198" s="34">
        <v>1</v>
      </c>
      <c r="L198" s="34">
        <v>1</v>
      </c>
      <c r="M198" s="34">
        <v>1</v>
      </c>
      <c r="N198" s="34">
        <v>1</v>
      </c>
      <c r="O198" s="34">
        <v>1</v>
      </c>
      <c r="P198" s="34">
        <v>1</v>
      </c>
      <c r="Q198" s="34">
        <v>1</v>
      </c>
      <c r="R198" s="34">
        <v>1</v>
      </c>
      <c r="S198" s="34">
        <v>1</v>
      </c>
      <c r="T198" s="34">
        <v>1</v>
      </c>
      <c r="U198" s="34">
        <v>1</v>
      </c>
      <c r="V198" s="34">
        <v>1</v>
      </c>
      <c r="W198" s="34">
        <v>1</v>
      </c>
      <c r="X198" s="34">
        <v>1</v>
      </c>
      <c r="Y198" s="34">
        <v>1</v>
      </c>
      <c r="Z198" s="31">
        <v>1</v>
      </c>
      <c r="AA198" s="31">
        <v>1</v>
      </c>
      <c r="AB198" s="30">
        <v>1</v>
      </c>
      <c r="AC198" s="26">
        <v>1</v>
      </c>
      <c r="AD198" s="26">
        <v>1</v>
      </c>
      <c r="AE198" s="25">
        <v>0</v>
      </c>
      <c r="AF198" s="26">
        <v>0</v>
      </c>
    </row>
    <row r="199" spans="1:32" ht="33.6" x14ac:dyDescent="0.3">
      <c r="A199" s="130"/>
      <c r="B199" s="76" t="s">
        <v>85</v>
      </c>
      <c r="C199" s="51" t="s">
        <v>40</v>
      </c>
      <c r="D199" s="63">
        <v>1</v>
      </c>
      <c r="E199" s="24"/>
      <c r="F199" s="82">
        <v>1</v>
      </c>
      <c r="G199" s="34">
        <v>1</v>
      </c>
      <c r="H199" s="34">
        <v>1</v>
      </c>
      <c r="I199" s="34">
        <v>1</v>
      </c>
      <c r="J199" s="34">
        <v>1</v>
      </c>
      <c r="K199" s="34">
        <v>1</v>
      </c>
      <c r="L199" s="34">
        <v>1</v>
      </c>
      <c r="M199" s="34">
        <v>1</v>
      </c>
      <c r="N199" s="34">
        <v>1</v>
      </c>
      <c r="O199" s="34">
        <v>1</v>
      </c>
      <c r="P199" s="34">
        <v>1</v>
      </c>
      <c r="Q199" s="34">
        <v>1</v>
      </c>
      <c r="R199" s="34">
        <v>1</v>
      </c>
      <c r="S199" s="34">
        <v>1</v>
      </c>
      <c r="T199" s="34">
        <v>1</v>
      </c>
      <c r="U199" s="34">
        <v>1</v>
      </c>
      <c r="V199" s="34">
        <v>1</v>
      </c>
      <c r="W199" s="34">
        <v>1</v>
      </c>
      <c r="X199" s="34">
        <v>1</v>
      </c>
      <c r="Y199" s="34">
        <v>1</v>
      </c>
      <c r="Z199" s="31">
        <v>1</v>
      </c>
      <c r="AA199" s="31">
        <v>1</v>
      </c>
      <c r="AB199" s="30">
        <v>1</v>
      </c>
      <c r="AC199" s="26">
        <v>1</v>
      </c>
      <c r="AD199" s="26">
        <v>1</v>
      </c>
      <c r="AE199" s="25">
        <v>0</v>
      </c>
      <c r="AF199" s="26">
        <v>0</v>
      </c>
    </row>
    <row r="200" spans="1:32" ht="16.8" x14ac:dyDescent="0.3">
      <c r="A200" s="130"/>
      <c r="B200" s="76" t="s">
        <v>86</v>
      </c>
      <c r="C200" s="51" t="s">
        <v>42</v>
      </c>
      <c r="D200" s="63">
        <v>1</v>
      </c>
      <c r="E200" s="24"/>
      <c r="F200" s="24">
        <v>2</v>
      </c>
      <c r="G200" s="24">
        <v>2</v>
      </c>
      <c r="H200" s="24">
        <v>2</v>
      </c>
      <c r="I200" s="24">
        <v>2</v>
      </c>
      <c r="J200" s="24">
        <v>2</v>
      </c>
      <c r="K200" s="24">
        <v>2</v>
      </c>
      <c r="L200" s="24">
        <v>2</v>
      </c>
      <c r="M200" s="24">
        <v>2</v>
      </c>
      <c r="N200" s="24">
        <v>2</v>
      </c>
      <c r="O200" s="24">
        <v>2</v>
      </c>
      <c r="P200" s="24">
        <v>2</v>
      </c>
      <c r="Q200" s="24">
        <v>2</v>
      </c>
      <c r="R200" s="24">
        <v>2</v>
      </c>
      <c r="S200" s="24">
        <v>2</v>
      </c>
      <c r="T200" s="24">
        <v>2</v>
      </c>
      <c r="U200" s="24">
        <v>2</v>
      </c>
      <c r="V200" s="24">
        <v>2</v>
      </c>
      <c r="W200" s="24">
        <v>2</v>
      </c>
      <c r="X200" s="24">
        <v>2</v>
      </c>
      <c r="Y200" s="24">
        <v>2</v>
      </c>
      <c r="Z200" s="24">
        <v>2</v>
      </c>
      <c r="AA200" s="24">
        <v>2</v>
      </c>
      <c r="AB200" s="24">
        <v>2</v>
      </c>
      <c r="AC200" s="24">
        <v>2</v>
      </c>
      <c r="AD200" s="85">
        <v>1</v>
      </c>
      <c r="AE200" s="25">
        <v>0</v>
      </c>
      <c r="AF200" s="26">
        <v>0</v>
      </c>
    </row>
    <row r="201" spans="1:32" ht="16.8" x14ac:dyDescent="0.3">
      <c r="A201" s="130"/>
      <c r="B201" s="76" t="s">
        <v>87</v>
      </c>
      <c r="C201" s="51" t="s">
        <v>44</v>
      </c>
      <c r="D201" s="63">
        <v>2</v>
      </c>
      <c r="E201" s="24"/>
      <c r="F201" s="24">
        <v>2</v>
      </c>
      <c r="G201" s="24">
        <v>2</v>
      </c>
      <c r="H201" s="24">
        <v>2</v>
      </c>
      <c r="I201" s="24">
        <v>2</v>
      </c>
      <c r="J201" s="24">
        <v>2</v>
      </c>
      <c r="K201" s="24">
        <v>2</v>
      </c>
      <c r="L201" s="24">
        <v>2</v>
      </c>
      <c r="M201" s="24">
        <v>2</v>
      </c>
      <c r="N201" s="24">
        <v>2</v>
      </c>
      <c r="O201" s="24">
        <v>2</v>
      </c>
      <c r="P201" s="24">
        <v>2</v>
      </c>
      <c r="Q201" s="24">
        <v>2</v>
      </c>
      <c r="R201" s="24">
        <v>2</v>
      </c>
      <c r="S201" s="24">
        <v>2</v>
      </c>
      <c r="T201" s="24">
        <v>2</v>
      </c>
      <c r="U201" s="24">
        <v>2</v>
      </c>
      <c r="V201" s="24">
        <v>2</v>
      </c>
      <c r="W201" s="24">
        <v>2</v>
      </c>
      <c r="X201" s="24">
        <v>2</v>
      </c>
      <c r="Y201" s="24">
        <v>2</v>
      </c>
      <c r="Z201" s="24">
        <v>2</v>
      </c>
      <c r="AA201" s="24">
        <v>2</v>
      </c>
      <c r="AB201" s="24">
        <v>2</v>
      </c>
      <c r="AC201" s="24">
        <v>2</v>
      </c>
      <c r="AD201" s="24">
        <v>2</v>
      </c>
      <c r="AE201" s="25">
        <v>0</v>
      </c>
      <c r="AF201" s="26">
        <v>0</v>
      </c>
    </row>
    <row r="202" spans="1:32" ht="16.8" x14ac:dyDescent="0.3">
      <c r="A202" s="141"/>
      <c r="B202" s="76" t="s">
        <v>88</v>
      </c>
      <c r="C202" s="51" t="s">
        <v>46</v>
      </c>
      <c r="D202" s="63">
        <v>1</v>
      </c>
      <c r="E202" s="24"/>
      <c r="F202" s="24">
        <v>2</v>
      </c>
      <c r="G202" s="24">
        <v>2</v>
      </c>
      <c r="H202" s="24">
        <v>2</v>
      </c>
      <c r="I202" s="24">
        <v>2</v>
      </c>
      <c r="J202" s="24">
        <v>2</v>
      </c>
      <c r="K202" s="24">
        <v>2</v>
      </c>
      <c r="L202" s="24">
        <v>2</v>
      </c>
      <c r="M202" s="24">
        <v>2</v>
      </c>
      <c r="N202" s="24">
        <v>2</v>
      </c>
      <c r="O202" s="24">
        <v>2</v>
      </c>
      <c r="P202" s="24">
        <v>2</v>
      </c>
      <c r="Q202" s="24">
        <v>2</v>
      </c>
      <c r="R202" s="24">
        <v>2</v>
      </c>
      <c r="S202" s="24">
        <v>2</v>
      </c>
      <c r="T202" s="24">
        <v>2</v>
      </c>
      <c r="U202" s="24">
        <v>2</v>
      </c>
      <c r="V202" s="24">
        <v>2</v>
      </c>
      <c r="W202" s="24">
        <v>2</v>
      </c>
      <c r="X202" s="24">
        <v>2</v>
      </c>
      <c r="Y202" s="24">
        <v>2</v>
      </c>
      <c r="Z202" s="24">
        <v>2</v>
      </c>
      <c r="AA202" s="24">
        <v>2</v>
      </c>
      <c r="AB202" s="24">
        <v>2</v>
      </c>
      <c r="AC202" s="24">
        <v>2</v>
      </c>
      <c r="AD202" s="85">
        <v>1</v>
      </c>
      <c r="AE202" s="25">
        <v>0</v>
      </c>
      <c r="AF202" s="26">
        <v>0</v>
      </c>
    </row>
    <row r="203" spans="1:32" ht="16.8" x14ac:dyDescent="0.3">
      <c r="A203" s="54"/>
      <c r="B203" s="113" t="s">
        <v>107</v>
      </c>
      <c r="C203" s="24" t="s">
        <v>44</v>
      </c>
      <c r="D203" s="24">
        <v>1</v>
      </c>
      <c r="F203" s="24">
        <v>1</v>
      </c>
      <c r="G203" s="24">
        <v>1</v>
      </c>
      <c r="H203" s="24">
        <v>1</v>
      </c>
      <c r="I203" s="24">
        <v>1</v>
      </c>
      <c r="J203" s="24">
        <v>1</v>
      </c>
      <c r="K203" s="24">
        <v>1</v>
      </c>
      <c r="L203" s="24">
        <v>1</v>
      </c>
      <c r="M203" s="24">
        <v>1</v>
      </c>
      <c r="N203" s="24">
        <v>1</v>
      </c>
      <c r="O203" s="24">
        <v>1</v>
      </c>
      <c r="P203" s="24">
        <v>1</v>
      </c>
      <c r="Q203" s="24">
        <v>1</v>
      </c>
      <c r="R203" s="24">
        <v>1</v>
      </c>
      <c r="S203" s="24">
        <v>1</v>
      </c>
      <c r="T203" s="24">
        <v>1</v>
      </c>
      <c r="U203" s="24">
        <v>1</v>
      </c>
      <c r="V203" s="24">
        <v>1</v>
      </c>
      <c r="W203" s="24">
        <v>1</v>
      </c>
      <c r="X203" s="24">
        <v>1</v>
      </c>
      <c r="Y203" s="24">
        <v>1</v>
      </c>
      <c r="Z203" s="24">
        <v>1</v>
      </c>
      <c r="AA203" s="24">
        <v>1</v>
      </c>
      <c r="AB203" s="24">
        <v>1</v>
      </c>
      <c r="AC203" s="24">
        <v>1</v>
      </c>
      <c r="AD203" s="24">
        <v>1</v>
      </c>
      <c r="AE203" s="25">
        <v>0</v>
      </c>
      <c r="AF203" s="26">
        <v>0</v>
      </c>
    </row>
    <row r="204" spans="1:32" ht="16.8" x14ac:dyDescent="0.3">
      <c r="A204" s="54"/>
      <c r="B204" s="120" t="s">
        <v>108</v>
      </c>
      <c r="C204" s="24" t="s">
        <v>41</v>
      </c>
      <c r="D204" s="103">
        <v>1</v>
      </c>
      <c r="F204" s="103">
        <v>1</v>
      </c>
      <c r="G204" s="103">
        <v>1</v>
      </c>
      <c r="H204" s="103">
        <v>1</v>
      </c>
      <c r="I204" s="103">
        <v>1</v>
      </c>
      <c r="J204" s="103">
        <v>1</v>
      </c>
      <c r="K204" s="103">
        <v>1</v>
      </c>
      <c r="L204" s="103">
        <v>1</v>
      </c>
      <c r="M204" s="103">
        <v>1</v>
      </c>
      <c r="N204" s="103">
        <v>1</v>
      </c>
      <c r="O204" s="103">
        <v>1</v>
      </c>
      <c r="P204" s="103">
        <v>1</v>
      </c>
      <c r="Q204" s="103">
        <v>1</v>
      </c>
      <c r="R204" s="103">
        <v>1</v>
      </c>
      <c r="S204" s="103">
        <v>1</v>
      </c>
      <c r="T204" s="103">
        <v>1</v>
      </c>
      <c r="U204" s="103">
        <v>1</v>
      </c>
      <c r="V204" s="103">
        <v>1</v>
      </c>
      <c r="W204" s="103">
        <v>1</v>
      </c>
      <c r="X204" s="103">
        <v>1</v>
      </c>
      <c r="Y204" s="103">
        <v>1</v>
      </c>
      <c r="Z204" s="103">
        <v>1</v>
      </c>
      <c r="AA204" s="103">
        <v>1</v>
      </c>
      <c r="AB204" s="103">
        <v>1</v>
      </c>
      <c r="AC204" s="103">
        <v>1</v>
      </c>
      <c r="AD204" s="103">
        <v>1</v>
      </c>
      <c r="AE204" s="25">
        <v>0</v>
      </c>
      <c r="AF204" s="26">
        <v>0</v>
      </c>
    </row>
    <row r="205" spans="1:32" ht="16.8" x14ac:dyDescent="0.3">
      <c r="A205" s="131" t="s">
        <v>89</v>
      </c>
      <c r="B205" s="131"/>
      <c r="C205" s="44" t="s">
        <v>25</v>
      </c>
      <c r="D205" s="80">
        <v>4</v>
      </c>
      <c r="E205" s="24"/>
      <c r="F205" s="24">
        <v>5</v>
      </c>
      <c r="G205" s="24">
        <v>5</v>
      </c>
      <c r="H205" s="24">
        <v>5</v>
      </c>
      <c r="I205" s="24">
        <v>5</v>
      </c>
      <c r="J205" s="24">
        <v>5</v>
      </c>
      <c r="K205" s="24">
        <v>5</v>
      </c>
      <c r="L205" s="24">
        <v>5</v>
      </c>
      <c r="M205" s="24">
        <v>5</v>
      </c>
      <c r="N205" s="24">
        <v>5</v>
      </c>
      <c r="O205" s="24">
        <v>5</v>
      </c>
      <c r="P205" s="24">
        <v>5</v>
      </c>
      <c r="Q205" s="24">
        <v>5</v>
      </c>
      <c r="R205" s="24">
        <v>5</v>
      </c>
      <c r="S205" s="24">
        <v>5</v>
      </c>
      <c r="T205" s="24">
        <v>5</v>
      </c>
      <c r="U205" s="24">
        <v>5</v>
      </c>
      <c r="V205" s="24">
        <v>5</v>
      </c>
      <c r="W205" s="24">
        <v>5</v>
      </c>
      <c r="X205" s="24">
        <v>5</v>
      </c>
      <c r="Y205" s="24">
        <v>5</v>
      </c>
      <c r="Z205" s="24">
        <v>5</v>
      </c>
      <c r="AA205" s="24">
        <v>5</v>
      </c>
      <c r="AB205" s="24">
        <v>5</v>
      </c>
      <c r="AC205" s="24">
        <v>5</v>
      </c>
      <c r="AD205" s="24">
        <v>5</v>
      </c>
      <c r="AE205" s="92">
        <v>4</v>
      </c>
      <c r="AF205" s="25">
        <v>0</v>
      </c>
    </row>
    <row r="206" spans="1:32" ht="16.8" x14ac:dyDescent="0.3">
      <c r="A206" s="132" t="s">
        <v>90</v>
      </c>
      <c r="B206" s="133"/>
      <c r="C206" s="47" t="s">
        <v>25</v>
      </c>
      <c r="D206" s="81">
        <v>4</v>
      </c>
      <c r="E206" s="24"/>
      <c r="F206" s="24">
        <v>5</v>
      </c>
      <c r="G206" s="24">
        <v>5</v>
      </c>
      <c r="H206" s="24">
        <v>5</v>
      </c>
      <c r="I206" s="24">
        <v>5</v>
      </c>
      <c r="J206" s="24">
        <v>5</v>
      </c>
      <c r="K206" s="24">
        <v>5</v>
      </c>
      <c r="L206" s="24">
        <v>5</v>
      </c>
      <c r="M206" s="24">
        <v>5</v>
      </c>
      <c r="N206" s="24">
        <v>5</v>
      </c>
      <c r="O206" s="24">
        <v>5</v>
      </c>
      <c r="P206" s="24">
        <v>5</v>
      </c>
      <c r="Q206" s="24">
        <v>5</v>
      </c>
      <c r="R206" s="24">
        <v>5</v>
      </c>
      <c r="S206" s="24">
        <v>5</v>
      </c>
      <c r="T206" s="24">
        <v>5</v>
      </c>
      <c r="U206" s="24">
        <v>5</v>
      </c>
      <c r="V206" s="24">
        <v>5</v>
      </c>
      <c r="W206" s="24">
        <v>5</v>
      </c>
      <c r="X206" s="24">
        <v>5</v>
      </c>
      <c r="Y206" s="24">
        <v>5</v>
      </c>
      <c r="Z206" s="24">
        <v>5</v>
      </c>
      <c r="AA206" s="24">
        <v>5</v>
      </c>
      <c r="AB206" s="24">
        <v>5</v>
      </c>
      <c r="AC206" s="24">
        <v>5</v>
      </c>
      <c r="AD206" s="24">
        <v>5</v>
      </c>
      <c r="AE206" s="92">
        <v>4</v>
      </c>
      <c r="AF206" s="25">
        <v>0</v>
      </c>
    </row>
    <row r="207" spans="1:32" ht="16.8" x14ac:dyDescent="0.3">
      <c r="A207" s="126" t="s">
        <v>8</v>
      </c>
      <c r="B207" s="127"/>
      <c r="C207" s="128"/>
      <c r="D207" s="26">
        <f>SUM(D114:D206)</f>
        <v>370</v>
      </c>
      <c r="E207" s="46"/>
      <c r="F207" s="37">
        <f t="shared" ref="F207:AE207" si="26">SUM(F114:F206)</f>
        <v>357</v>
      </c>
      <c r="G207" s="37">
        <f t="shared" si="26"/>
        <v>347</v>
      </c>
      <c r="H207" s="37">
        <f t="shared" si="26"/>
        <v>335</v>
      </c>
      <c r="I207" s="37">
        <f t="shared" si="26"/>
        <v>322</v>
      </c>
      <c r="J207" s="37">
        <f t="shared" si="26"/>
        <v>310</v>
      </c>
      <c r="K207" s="37">
        <f t="shared" si="26"/>
        <v>308</v>
      </c>
      <c r="L207" s="37">
        <f t="shared" si="26"/>
        <v>267</v>
      </c>
      <c r="M207" s="37">
        <f t="shared" si="26"/>
        <v>269</v>
      </c>
      <c r="N207" s="37">
        <f t="shared" si="26"/>
        <v>228</v>
      </c>
      <c r="O207" s="37">
        <f t="shared" si="26"/>
        <v>227</v>
      </c>
      <c r="P207" s="37">
        <f t="shared" si="26"/>
        <v>224</v>
      </c>
      <c r="Q207" s="37">
        <f t="shared" si="26"/>
        <v>199</v>
      </c>
      <c r="R207" s="29">
        <f t="shared" si="26"/>
        <v>184</v>
      </c>
      <c r="S207" s="50">
        <f t="shared" si="26"/>
        <v>164</v>
      </c>
      <c r="T207" s="50">
        <f t="shared" si="26"/>
        <v>142</v>
      </c>
      <c r="U207" s="50">
        <f t="shared" si="26"/>
        <v>137</v>
      </c>
      <c r="V207" s="50">
        <f t="shared" si="26"/>
        <v>118</v>
      </c>
      <c r="W207" s="50">
        <f t="shared" si="26"/>
        <v>99</v>
      </c>
      <c r="X207" s="50">
        <f t="shared" si="26"/>
        <v>88</v>
      </c>
      <c r="Y207" s="50">
        <f t="shared" si="26"/>
        <v>70</v>
      </c>
      <c r="Z207" s="50">
        <f t="shared" si="26"/>
        <v>61</v>
      </c>
      <c r="AA207" s="50">
        <f t="shared" si="26"/>
        <v>55</v>
      </c>
      <c r="AB207" s="50">
        <f t="shared" si="26"/>
        <v>45</v>
      </c>
      <c r="AC207" s="50">
        <f t="shared" si="26"/>
        <v>27</v>
      </c>
      <c r="AD207" s="50">
        <f t="shared" si="26"/>
        <v>19</v>
      </c>
      <c r="AE207" s="50">
        <f t="shared" si="26"/>
        <v>8</v>
      </c>
      <c r="AF207" s="26">
        <v>0</v>
      </c>
    </row>
    <row r="210" spans="4:32" ht="16.8" x14ac:dyDescent="0.3">
      <c r="D210" s="129" t="s">
        <v>103</v>
      </c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</row>
    <row r="211" spans="4:32" ht="52.2" x14ac:dyDescent="0.3">
      <c r="D211" s="65"/>
      <c r="E211" s="66"/>
      <c r="F211" s="21">
        <v>46128</v>
      </c>
      <c r="G211" s="21">
        <f t="shared" ref="G211" si="27">F211+1</f>
        <v>46129</v>
      </c>
      <c r="H211" s="21">
        <f t="shared" ref="H211" si="28">G211+1</f>
        <v>46130</v>
      </c>
      <c r="I211" s="21">
        <f t="shared" ref="I211" si="29">H211+1</f>
        <v>46131</v>
      </c>
      <c r="J211" s="21">
        <f t="shared" ref="J211" si="30">I211+1</f>
        <v>46132</v>
      </c>
      <c r="K211" s="21">
        <f t="shared" ref="K211" si="31">J211+1</f>
        <v>46133</v>
      </c>
      <c r="L211" s="21">
        <f t="shared" ref="L211" si="32">K211+1</f>
        <v>46134</v>
      </c>
      <c r="M211" s="21">
        <f t="shared" ref="M211" si="33">L211+1</f>
        <v>46135</v>
      </c>
      <c r="N211" s="21">
        <f t="shared" ref="N211" si="34">M211+1</f>
        <v>46136</v>
      </c>
      <c r="O211" s="21">
        <f>N211+1</f>
        <v>46137</v>
      </c>
      <c r="P211" s="21">
        <f t="shared" ref="P211" si="35">O211+1</f>
        <v>46138</v>
      </c>
      <c r="Q211" s="21">
        <f t="shared" ref="Q211" si="36">P211+1</f>
        <v>46139</v>
      </c>
      <c r="R211" s="21">
        <f t="shared" ref="R211" si="37">Q211+1</f>
        <v>46140</v>
      </c>
      <c r="S211" s="21">
        <f t="shared" ref="S211" si="38">R211+1</f>
        <v>46141</v>
      </c>
      <c r="T211" s="21">
        <f>S211+1</f>
        <v>46142</v>
      </c>
      <c r="U211" s="21">
        <f t="shared" ref="U211" si="39">T211+1</f>
        <v>46143</v>
      </c>
      <c r="V211" s="21">
        <f t="shared" ref="V211" si="40">U211+1</f>
        <v>46144</v>
      </c>
      <c r="W211" s="21">
        <f>V211+1</f>
        <v>46145</v>
      </c>
      <c r="X211" s="21">
        <f t="shared" ref="X211" si="41">W211+1</f>
        <v>46146</v>
      </c>
      <c r="Y211" s="21">
        <f t="shared" ref="Y211" si="42">X211+1</f>
        <v>46147</v>
      </c>
      <c r="Z211" s="21">
        <f t="shared" ref="Z211" si="43">Y211+1</f>
        <v>46148</v>
      </c>
      <c r="AA211" s="21">
        <f t="shared" ref="AA211" si="44">Z211+1</f>
        <v>46149</v>
      </c>
      <c r="AB211" s="21">
        <f t="shared" ref="AB211" si="45">AA211+1</f>
        <v>46150</v>
      </c>
      <c r="AC211" s="21">
        <f t="shared" ref="AC211" si="46">AB211+1</f>
        <v>46151</v>
      </c>
      <c r="AD211" s="21">
        <f t="shared" ref="AD211" si="47">AC211+1</f>
        <v>46152</v>
      </c>
      <c r="AE211" s="21">
        <f t="shared" ref="AE211" si="48">AD211+1</f>
        <v>46153</v>
      </c>
      <c r="AF211" s="21">
        <f t="shared" ref="AF211" si="49">AE211+1</f>
        <v>46154</v>
      </c>
    </row>
    <row r="212" spans="4:32" ht="16.8" x14ac:dyDescent="0.3">
      <c r="D212" s="67" t="s">
        <v>9</v>
      </c>
      <c r="E212" s="37">
        <f t="shared" ref="E212:AF212" si="50">E110</f>
        <v>360</v>
      </c>
      <c r="F212" s="37">
        <f t="shared" si="50"/>
        <v>357</v>
      </c>
      <c r="G212" s="37">
        <f t="shared" si="50"/>
        <v>345</v>
      </c>
      <c r="H212" s="37">
        <f t="shared" si="50"/>
        <v>331</v>
      </c>
      <c r="I212" s="37">
        <f t="shared" si="50"/>
        <v>324</v>
      </c>
      <c r="J212" s="37">
        <f t="shared" si="50"/>
        <v>313</v>
      </c>
      <c r="K212" s="37">
        <f t="shared" si="50"/>
        <v>303</v>
      </c>
      <c r="L212" s="37">
        <f t="shared" si="50"/>
        <v>267</v>
      </c>
      <c r="M212" s="37">
        <f t="shared" si="50"/>
        <v>267</v>
      </c>
      <c r="N212" s="37">
        <f t="shared" si="50"/>
        <v>228</v>
      </c>
      <c r="O212" s="37">
        <f t="shared" si="50"/>
        <v>227</v>
      </c>
      <c r="P212" s="37">
        <f t="shared" si="50"/>
        <v>219</v>
      </c>
      <c r="Q212" s="37">
        <f t="shared" si="50"/>
        <v>199</v>
      </c>
      <c r="R212" s="37">
        <f t="shared" si="50"/>
        <v>184</v>
      </c>
      <c r="S212" s="37">
        <f t="shared" si="50"/>
        <v>164</v>
      </c>
      <c r="T212" s="37">
        <f t="shared" si="50"/>
        <v>144</v>
      </c>
      <c r="U212" s="37">
        <f t="shared" si="50"/>
        <v>139</v>
      </c>
      <c r="V212" s="37">
        <f t="shared" si="50"/>
        <v>121</v>
      </c>
      <c r="W212" s="37">
        <f t="shared" si="50"/>
        <v>99</v>
      </c>
      <c r="X212" s="37">
        <f t="shared" si="50"/>
        <v>87</v>
      </c>
      <c r="Y212" s="37">
        <f t="shared" si="50"/>
        <v>65</v>
      </c>
      <c r="Z212" s="37">
        <f t="shared" si="50"/>
        <v>59</v>
      </c>
      <c r="AA212" s="37">
        <f t="shared" si="50"/>
        <v>51</v>
      </c>
      <c r="AB212" s="37">
        <f t="shared" si="50"/>
        <v>44</v>
      </c>
      <c r="AC212" s="37">
        <f t="shared" si="50"/>
        <v>29</v>
      </c>
      <c r="AD212" s="37">
        <f t="shared" si="50"/>
        <v>21</v>
      </c>
      <c r="AE212" s="37">
        <f t="shared" si="50"/>
        <v>10</v>
      </c>
      <c r="AF212" s="37">
        <f t="shared" si="50"/>
        <v>0</v>
      </c>
    </row>
    <row r="213" spans="4:32" ht="16.8" x14ac:dyDescent="0.3">
      <c r="D213" s="67" t="s">
        <v>8</v>
      </c>
      <c r="E213" s="26">
        <f>D207</f>
        <v>370</v>
      </c>
      <c r="F213" s="37">
        <f>F207</f>
        <v>357</v>
      </c>
      <c r="G213" s="37">
        <f t="shared" ref="G213:AF213" si="51">G207</f>
        <v>347</v>
      </c>
      <c r="H213" s="37">
        <f t="shared" si="51"/>
        <v>335</v>
      </c>
      <c r="I213" s="37">
        <f t="shared" si="51"/>
        <v>322</v>
      </c>
      <c r="J213" s="37">
        <f t="shared" si="51"/>
        <v>310</v>
      </c>
      <c r="K213" s="37">
        <f t="shared" si="51"/>
        <v>308</v>
      </c>
      <c r="L213" s="37">
        <f t="shared" si="51"/>
        <v>267</v>
      </c>
      <c r="M213" s="37">
        <f t="shared" si="51"/>
        <v>269</v>
      </c>
      <c r="N213" s="37">
        <f t="shared" si="51"/>
        <v>228</v>
      </c>
      <c r="O213" s="37">
        <f t="shared" si="51"/>
        <v>227</v>
      </c>
      <c r="P213" s="37">
        <f t="shared" si="51"/>
        <v>224</v>
      </c>
      <c r="Q213" s="37">
        <f t="shared" si="51"/>
        <v>199</v>
      </c>
      <c r="R213" s="37">
        <f t="shared" si="51"/>
        <v>184</v>
      </c>
      <c r="S213" s="37">
        <f t="shared" si="51"/>
        <v>164</v>
      </c>
      <c r="T213" s="37">
        <f t="shared" si="51"/>
        <v>142</v>
      </c>
      <c r="U213" s="37">
        <f t="shared" si="51"/>
        <v>137</v>
      </c>
      <c r="V213" s="37">
        <f t="shared" si="51"/>
        <v>118</v>
      </c>
      <c r="W213" s="37">
        <f t="shared" si="51"/>
        <v>99</v>
      </c>
      <c r="X213" s="37">
        <f t="shared" si="51"/>
        <v>88</v>
      </c>
      <c r="Y213" s="37">
        <f t="shared" si="51"/>
        <v>70</v>
      </c>
      <c r="Z213" s="37">
        <f t="shared" si="51"/>
        <v>61</v>
      </c>
      <c r="AA213" s="37">
        <f t="shared" si="51"/>
        <v>55</v>
      </c>
      <c r="AB213" s="37">
        <f t="shared" si="51"/>
        <v>45</v>
      </c>
      <c r="AC213" s="37">
        <f t="shared" si="51"/>
        <v>27</v>
      </c>
      <c r="AD213" s="37">
        <f t="shared" si="51"/>
        <v>19</v>
      </c>
      <c r="AE213" s="37">
        <f t="shared" si="51"/>
        <v>8</v>
      </c>
      <c r="AF213" s="37">
        <f t="shared" si="51"/>
        <v>0</v>
      </c>
    </row>
  </sheetData>
  <mergeCells count="42">
    <mergeCell ref="B1:M1"/>
    <mergeCell ref="B6:G6"/>
    <mergeCell ref="E7:G7"/>
    <mergeCell ref="E8:G8"/>
    <mergeCell ref="K8:L8"/>
    <mergeCell ref="E9:G9"/>
    <mergeCell ref="K9:L9"/>
    <mergeCell ref="E10:G10"/>
    <mergeCell ref="K10:L10"/>
    <mergeCell ref="E11:G11"/>
    <mergeCell ref="K11:L11"/>
    <mergeCell ref="E12:G12"/>
    <mergeCell ref="K12:L12"/>
    <mergeCell ref="B13:C13"/>
    <mergeCell ref="E13:G13"/>
    <mergeCell ref="A17:B17"/>
    <mergeCell ref="A18:B18"/>
    <mergeCell ref="A19:B19"/>
    <mergeCell ref="A20:B20"/>
    <mergeCell ref="A21:A35"/>
    <mergeCell ref="A36:A50"/>
    <mergeCell ref="A109:B109"/>
    <mergeCell ref="A110:C110"/>
    <mergeCell ref="A51:A65"/>
    <mergeCell ref="A66:A79"/>
    <mergeCell ref="A80:A93"/>
    <mergeCell ref="A94:A107"/>
    <mergeCell ref="A108:B108"/>
    <mergeCell ref="A114:B114"/>
    <mergeCell ref="A115:B115"/>
    <mergeCell ref="A116:B116"/>
    <mergeCell ref="A117:B117"/>
    <mergeCell ref="A118:A132"/>
    <mergeCell ref="A205:B205"/>
    <mergeCell ref="A206:B206"/>
    <mergeCell ref="A207:C207"/>
    <mergeCell ref="D210:AE210"/>
    <mergeCell ref="A133:A147"/>
    <mergeCell ref="A148:A162"/>
    <mergeCell ref="A163:A176"/>
    <mergeCell ref="A177:A190"/>
    <mergeCell ref="A191:A20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8E84-53A2-4370-8577-2A818AB56D54}">
  <dimension ref="E2:O13"/>
  <sheetViews>
    <sheetView workbookViewId="0">
      <selection activeCell="I15" sqref="I15"/>
    </sheetView>
  </sheetViews>
  <sheetFormatPr defaultRowHeight="14.4" x14ac:dyDescent="0.3"/>
  <cols>
    <col min="6" max="6" width="15.6640625" customWidth="1"/>
    <col min="7" max="7" width="10.77734375" customWidth="1"/>
    <col min="8" max="8" width="14.5546875" bestFit="1" customWidth="1"/>
    <col min="9" max="9" width="12.33203125" customWidth="1"/>
    <col min="10" max="10" width="14.5546875" bestFit="1" customWidth="1"/>
    <col min="12" max="12" width="14.5546875" bestFit="1" customWidth="1"/>
    <col min="13" max="13" width="10.21875" customWidth="1"/>
    <col min="14" max="14" width="14.5546875" bestFit="1" customWidth="1"/>
    <col min="15" max="15" width="9.5546875" bestFit="1" customWidth="1"/>
  </cols>
  <sheetData>
    <row r="2" spans="5:15" ht="20.399999999999999" x14ac:dyDescent="0.35">
      <c r="E2" s="122" t="s">
        <v>104</v>
      </c>
      <c r="F2" s="123"/>
      <c r="G2" s="123"/>
      <c r="H2" s="123"/>
      <c r="I2" s="123"/>
      <c r="J2" s="123"/>
      <c r="K2" s="123"/>
      <c r="L2" s="123"/>
      <c r="M2" s="123"/>
      <c r="N2" s="123"/>
      <c r="O2" s="123"/>
    </row>
    <row r="3" spans="5:15" ht="16.8" x14ac:dyDescent="0.3">
      <c r="E3" s="93"/>
      <c r="F3" s="124" t="s">
        <v>41</v>
      </c>
      <c r="G3" s="125"/>
      <c r="H3" s="124" t="s">
        <v>42</v>
      </c>
      <c r="I3" s="125"/>
      <c r="J3" s="124" t="s">
        <v>46</v>
      </c>
      <c r="K3" s="125"/>
      <c r="L3" s="124" t="s">
        <v>40</v>
      </c>
      <c r="M3" s="125"/>
      <c r="N3" s="124" t="s">
        <v>44</v>
      </c>
      <c r="O3" s="125"/>
    </row>
    <row r="4" spans="5:15" ht="33.6" x14ac:dyDescent="0.3">
      <c r="E4" s="24"/>
      <c r="F4" s="94" t="s">
        <v>9</v>
      </c>
      <c r="G4" s="95" t="s">
        <v>8</v>
      </c>
      <c r="H4" s="94" t="s">
        <v>9</v>
      </c>
      <c r="I4" s="95" t="s">
        <v>8</v>
      </c>
      <c r="J4" s="94" t="s">
        <v>9</v>
      </c>
      <c r="K4" s="95" t="s">
        <v>8</v>
      </c>
      <c r="L4" s="94" t="s">
        <v>9</v>
      </c>
      <c r="M4" s="95" t="s">
        <v>8</v>
      </c>
      <c r="N4" s="94" t="s">
        <v>9</v>
      </c>
      <c r="O4" s="95" t="s">
        <v>8</v>
      </c>
    </row>
    <row r="5" spans="5:15" ht="16.8" x14ac:dyDescent="0.3">
      <c r="E5" s="53" t="s">
        <v>2</v>
      </c>
      <c r="F5" s="96">
        <v>68.333333330000002</v>
      </c>
      <c r="G5" s="97">
        <v>71.2333</v>
      </c>
      <c r="H5" s="96">
        <v>71.333333330000002</v>
      </c>
      <c r="I5" s="97">
        <v>74.7333</v>
      </c>
      <c r="J5" s="96">
        <v>64.5</v>
      </c>
      <c r="K5" s="97">
        <v>67.900000000000006</v>
      </c>
      <c r="L5" s="96">
        <v>84</v>
      </c>
      <c r="M5" s="97">
        <v>90.9</v>
      </c>
      <c r="N5" s="96">
        <v>73.833333332999999</v>
      </c>
      <c r="O5" s="97">
        <v>68.2333</v>
      </c>
    </row>
    <row r="6" spans="5:15" ht="16.8" x14ac:dyDescent="0.3">
      <c r="E6" s="53" t="s">
        <v>73</v>
      </c>
      <c r="F6" s="96">
        <v>78.233333299999998</v>
      </c>
      <c r="G6" s="97">
        <v>76</v>
      </c>
      <c r="H6" s="96">
        <v>77.166666669999998</v>
      </c>
      <c r="I6" s="97">
        <v>83.4</v>
      </c>
      <c r="J6" s="96">
        <v>77.833333300000007</v>
      </c>
      <c r="K6" s="97">
        <v>77.400000000000006</v>
      </c>
      <c r="L6" s="96">
        <v>68.166666669999998</v>
      </c>
      <c r="M6" s="97">
        <v>69.066666670000004</v>
      </c>
      <c r="N6" s="96">
        <v>60.833333330000002</v>
      </c>
      <c r="O6" s="97">
        <v>61.9</v>
      </c>
    </row>
    <row r="7" spans="5:15" ht="16.8" x14ac:dyDescent="0.3">
      <c r="E7" s="98" t="s">
        <v>105</v>
      </c>
      <c r="F7" s="99">
        <f t="shared" ref="F7:O7" si="0">SUM(F5:F6)</f>
        <v>146.56666662999999</v>
      </c>
      <c r="G7" s="99">
        <f t="shared" si="0"/>
        <v>147.23329999999999</v>
      </c>
      <c r="H7" s="99">
        <f t="shared" si="0"/>
        <v>148.5</v>
      </c>
      <c r="I7" s="99">
        <f t="shared" si="0"/>
        <v>158.13330000000002</v>
      </c>
      <c r="J7" s="99">
        <f t="shared" si="0"/>
        <v>142.33333329999999</v>
      </c>
      <c r="K7" s="99">
        <f t="shared" si="0"/>
        <v>145.30000000000001</v>
      </c>
      <c r="L7" s="99">
        <f t="shared" si="0"/>
        <v>152.16666666999998</v>
      </c>
      <c r="M7" s="99">
        <f t="shared" si="0"/>
        <v>159.96666667</v>
      </c>
      <c r="N7" s="99">
        <f t="shared" si="0"/>
        <v>134.666666663</v>
      </c>
      <c r="O7" s="99">
        <f t="shared" si="0"/>
        <v>130.13329999999999</v>
      </c>
    </row>
    <row r="11" spans="5:15" ht="16.8" x14ac:dyDescent="0.3">
      <c r="H11" s="121" t="s">
        <v>106</v>
      </c>
      <c r="I11" s="121"/>
    </row>
    <row r="12" spans="5:15" ht="16.8" x14ac:dyDescent="0.3">
      <c r="H12" s="100" t="s">
        <v>9</v>
      </c>
      <c r="I12" s="101">
        <v>722</v>
      </c>
    </row>
    <row r="13" spans="5:15" ht="16.8" x14ac:dyDescent="0.3">
      <c r="H13" s="95" t="s">
        <v>8</v>
      </c>
      <c r="I13" s="102">
        <v>743</v>
      </c>
    </row>
  </sheetData>
  <mergeCells count="7">
    <mergeCell ref="H11:I11"/>
    <mergeCell ref="E2:O2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BAO 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nguyên</dc:creator>
  <cp:lastModifiedBy>lê nguyên</cp:lastModifiedBy>
  <dcterms:created xsi:type="dcterms:W3CDTF">2026-04-17T08:12:08Z</dcterms:created>
  <dcterms:modified xsi:type="dcterms:W3CDTF">2026-05-16T06:14:53Z</dcterms:modified>
</cp:coreProperties>
</file>